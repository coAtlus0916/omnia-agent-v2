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odex\Projects\工作\outputs\sap_ecc_phase1_master_update\"/>
    </mc:Choice>
  </mc:AlternateContent>
  <xr:revisionPtr revIDLastSave="0" documentId="11_330F755CC107D6BA9BFC23003014BB8429C54281" xr6:coauthVersionLast="47" xr6:coauthVersionMax="47" xr10:uidLastSave="{00000000-0000-0000-0000-000000000000}"/>
  <bookViews>
    <workbookView xWindow="-120" yWindow="-120" windowWidth="28095" windowHeight="16440" activeTab="2" xr2:uid="{00000000-000D-0000-FFFF-FFFF00000000}"/>
  </bookViews>
  <sheets>
    <sheet name="使用说明" sheetId="1" r:id="rId1"/>
    <sheet name="字段母版" sheetId="2" r:id="rId2"/>
    <sheet name="Risk-Control关系" sheetId="3" r:id="rId3"/>
    <sheet name="V4接口证据" sheetId="4" r:id="rId4"/>
    <sheet name="规则与枚举" sheetId="5" r:id="rId5"/>
    <sheet name="覆盖与质检" sheetId="6" r:id="rId6"/>
    <sheet name="原始字段追溯" sheetId="7" r:id="rId7"/>
    <sheet name="SAP ECC录制证据" sheetId="8" r:id="rId8"/>
    <sheet name="评分项与规则" sheetId="9" r:id="rId9"/>
  </sheets>
  <calcPr calcId="191029"/>
</workbook>
</file>

<file path=xl/calcChain.xml><?xml version="1.0" encoding="utf-8"?>
<calcChain xmlns="http://schemas.openxmlformats.org/spreadsheetml/2006/main">
  <c r="A1108" i="6" l="1"/>
  <c r="D1108" i="6" s="1"/>
  <c r="A1107" i="6"/>
  <c r="D1107" i="6" s="1"/>
  <c r="D1106" i="6"/>
  <c r="A1106" i="6"/>
  <c r="C1106" i="6" s="1"/>
  <c r="D1105" i="6"/>
  <c r="C1105" i="6"/>
  <c r="A1105" i="6"/>
  <c r="B1105" i="6" s="1"/>
  <c r="C1104" i="6"/>
  <c r="A1104" i="6"/>
  <c r="D1104" i="6" s="1"/>
  <c r="A1103" i="6"/>
  <c r="A1102" i="6"/>
  <c r="A1101" i="6"/>
  <c r="A1100" i="6"/>
  <c r="C1099" i="6"/>
  <c r="A1099" i="6"/>
  <c r="D1099" i="6" s="1"/>
  <c r="A1098" i="6"/>
  <c r="B1098" i="6" s="1"/>
  <c r="A1097" i="6"/>
  <c r="C1096" i="6"/>
  <c r="A1096" i="6"/>
  <c r="A1095" i="6"/>
  <c r="D1095" i="6" s="1"/>
  <c r="A1094" i="6"/>
  <c r="A1093" i="6"/>
  <c r="A1092" i="6"/>
  <c r="A1091" i="6"/>
  <c r="A1090" i="6"/>
  <c r="C1089" i="6"/>
  <c r="A1089" i="6"/>
  <c r="A1088" i="6"/>
  <c r="A1087" i="6"/>
  <c r="B1087" i="6" s="1"/>
  <c r="A1086" i="6"/>
  <c r="A1085" i="6"/>
  <c r="A1084" i="6"/>
  <c r="D1084" i="6" s="1"/>
  <c r="A1083" i="6"/>
  <c r="C1083" i="6" s="1"/>
  <c r="A1082" i="6"/>
  <c r="C1081" i="6"/>
  <c r="A1081" i="6"/>
  <c r="A1080" i="6"/>
  <c r="B1080" i="6" s="1"/>
  <c r="A1079" i="6"/>
  <c r="A1078" i="6"/>
  <c r="C1077" i="6"/>
  <c r="A1077" i="6"/>
  <c r="D1077" i="6" s="1"/>
  <c r="A1076" i="6"/>
  <c r="C1075" i="6"/>
  <c r="A1075" i="6"/>
  <c r="C1074" i="6"/>
  <c r="A1074" i="6"/>
  <c r="A1073" i="6"/>
  <c r="A1072" i="6"/>
  <c r="C1071" i="6"/>
  <c r="A1071" i="6"/>
  <c r="A1070" i="6"/>
  <c r="D1069" i="6"/>
  <c r="C1069" i="6"/>
  <c r="A1069" i="6"/>
  <c r="B1069" i="6" s="1"/>
  <c r="C1068" i="6"/>
  <c r="A1068" i="6"/>
  <c r="A1067" i="6"/>
  <c r="A1066" i="6"/>
  <c r="D1066" i="6" s="1"/>
  <c r="A1065" i="6"/>
  <c r="A1064" i="6"/>
  <c r="A1063" i="6"/>
  <c r="C1062" i="6"/>
  <c r="A1062" i="6"/>
  <c r="B1062" i="6" s="1"/>
  <c r="A1061" i="6"/>
  <c r="C1060" i="6"/>
  <c r="A1060" i="6"/>
  <c r="C1059" i="6"/>
  <c r="A1059" i="6"/>
  <c r="D1059" i="6" s="1"/>
  <c r="A1058" i="6"/>
  <c r="A1057" i="6"/>
  <c r="A1056" i="6"/>
  <c r="A1055" i="6"/>
  <c r="A1054" i="6"/>
  <c r="C1053" i="6"/>
  <c r="A1053" i="6"/>
  <c r="A1052" i="6"/>
  <c r="A1051" i="6"/>
  <c r="B1051" i="6" s="1"/>
  <c r="A1050" i="6"/>
  <c r="A1049" i="6"/>
  <c r="C1048" i="6"/>
  <c r="A1048" i="6"/>
  <c r="D1048" i="6" s="1"/>
  <c r="C1047" i="6"/>
  <c r="A1047" i="6"/>
  <c r="A1046" i="6"/>
  <c r="C1045" i="6"/>
  <c r="A1045" i="6"/>
  <c r="D1044" i="6"/>
  <c r="A1044" i="6"/>
  <c r="B1044" i="6" s="1"/>
  <c r="A1043" i="6"/>
  <c r="C1042" i="6"/>
  <c r="A1042" i="6"/>
  <c r="B1041" i="6"/>
  <c r="A1041" i="6"/>
  <c r="D1041" i="6" s="1"/>
  <c r="A1040" i="6"/>
  <c r="C1039" i="6"/>
  <c r="A1039" i="6"/>
  <c r="C1038" i="6"/>
  <c r="A1038" i="6"/>
  <c r="D1037" i="6"/>
  <c r="A1037" i="6"/>
  <c r="A1036" i="6"/>
  <c r="A1035" i="6"/>
  <c r="A1034" i="6"/>
  <c r="D1033" i="6"/>
  <c r="A1033" i="6"/>
  <c r="B1033" i="6" s="1"/>
  <c r="C1032" i="6"/>
  <c r="A1032" i="6"/>
  <c r="A1031" i="6"/>
  <c r="A1030" i="6"/>
  <c r="D1030" i="6" s="1"/>
  <c r="A1029" i="6"/>
  <c r="A1028" i="6"/>
  <c r="C1027" i="6"/>
  <c r="A1027" i="6"/>
  <c r="D1026" i="6"/>
  <c r="C1026" i="6"/>
  <c r="A1026" i="6"/>
  <c r="B1026" i="6" s="1"/>
  <c r="A1025" i="6"/>
  <c r="A1024" i="6"/>
  <c r="A1023" i="6"/>
  <c r="D1023" i="6" s="1"/>
  <c r="A1022" i="6"/>
  <c r="C1021" i="6"/>
  <c r="A1021" i="6"/>
  <c r="A1020" i="6"/>
  <c r="A1019" i="6"/>
  <c r="A1018" i="6"/>
  <c r="C1017" i="6"/>
  <c r="A1017" i="6"/>
  <c r="A1016" i="6"/>
  <c r="C1015" i="6"/>
  <c r="A1015" i="6"/>
  <c r="B1015" i="6" s="1"/>
  <c r="A1014" i="6"/>
  <c r="A1013" i="6"/>
  <c r="C1012" i="6"/>
  <c r="A1012" i="6"/>
  <c r="D1012" i="6" s="1"/>
  <c r="A1011" i="6"/>
  <c r="A1010" i="6"/>
  <c r="A1009" i="6"/>
  <c r="A1008" i="6"/>
  <c r="B1008" i="6" s="1"/>
  <c r="A1007" i="6"/>
  <c r="C1006" i="6"/>
  <c r="A1006" i="6"/>
  <c r="C1005" i="6"/>
  <c r="A1005" i="6"/>
  <c r="D1005" i="6" s="1"/>
  <c r="A1004" i="6"/>
  <c r="A1003" i="6"/>
  <c r="C1002" i="6"/>
  <c r="A1002" i="6"/>
  <c r="D1001" i="6"/>
  <c r="A1001" i="6"/>
  <c r="C1000" i="6"/>
  <c r="A1000" i="6"/>
  <c r="C999" i="6"/>
  <c r="A999" i="6"/>
  <c r="A998" i="6"/>
  <c r="D997" i="6"/>
  <c r="A997" i="6"/>
  <c r="B997" i="6" s="1"/>
  <c r="C996" i="6"/>
  <c r="A996" i="6"/>
  <c r="A995" i="6"/>
  <c r="C994" i="6"/>
  <c r="B994" i="6"/>
  <c r="A994" i="6"/>
  <c r="D994" i="6" s="1"/>
  <c r="C993" i="6"/>
  <c r="A993" i="6"/>
  <c r="A992" i="6"/>
  <c r="C991" i="6"/>
  <c r="A991" i="6"/>
  <c r="D990" i="6"/>
  <c r="C990" i="6"/>
  <c r="A990" i="6"/>
  <c r="B990" i="6" s="1"/>
  <c r="A989" i="6"/>
  <c r="A988" i="6"/>
  <c r="A987" i="6"/>
  <c r="D987" i="6" s="1"/>
  <c r="A986" i="6"/>
  <c r="C985" i="6"/>
  <c r="A985" i="6"/>
  <c r="C984" i="6"/>
  <c r="A984" i="6"/>
  <c r="A983" i="6"/>
  <c r="A982" i="6"/>
  <c r="A981" i="6"/>
  <c r="A980" i="6"/>
  <c r="C979" i="6"/>
  <c r="A979" i="6"/>
  <c r="B979" i="6" s="1"/>
  <c r="C978" i="6"/>
  <c r="A978" i="6"/>
  <c r="A977" i="6"/>
  <c r="C976" i="6"/>
  <c r="A976" i="6"/>
  <c r="D976" i="6" s="1"/>
  <c r="A975" i="6"/>
  <c r="A974" i="6"/>
  <c r="A973" i="6"/>
  <c r="C972" i="6"/>
  <c r="A972" i="6"/>
  <c r="B972" i="6" s="1"/>
  <c r="A971" i="6"/>
  <c r="C970" i="6"/>
  <c r="A970" i="6"/>
  <c r="C969" i="6"/>
  <c r="A969" i="6"/>
  <c r="D969" i="6" s="1"/>
  <c r="A968" i="6"/>
  <c r="A967" i="6"/>
  <c r="A966" i="6"/>
  <c r="D965" i="6"/>
  <c r="A965" i="6"/>
  <c r="C964" i="6"/>
  <c r="A964" i="6"/>
  <c r="C963" i="6"/>
  <c r="A963" i="6"/>
  <c r="A962" i="6"/>
  <c r="A961" i="6"/>
  <c r="B961" i="6" s="1"/>
  <c r="A960" i="6"/>
  <c r="A959" i="6"/>
  <c r="C958" i="6"/>
  <c r="B958" i="6"/>
  <c r="A958" i="6"/>
  <c r="D958" i="6" s="1"/>
  <c r="C957" i="6"/>
  <c r="A957" i="6"/>
  <c r="A956" i="6"/>
  <c r="C955" i="6"/>
  <c r="A955" i="6"/>
  <c r="D954" i="6"/>
  <c r="A954" i="6"/>
  <c r="B954" i="6" s="1"/>
  <c r="A953" i="6"/>
  <c r="A952" i="6"/>
  <c r="A951" i="6"/>
  <c r="D951" i="6" s="1"/>
  <c r="A950" i="6"/>
  <c r="A949" i="6"/>
  <c r="B948" i="6"/>
  <c r="A948" i="6"/>
  <c r="D948" i="6" s="1"/>
  <c r="A947" i="6"/>
  <c r="A946" i="6"/>
  <c r="A945" i="6"/>
  <c r="D944" i="6"/>
  <c r="A944" i="6"/>
  <c r="D943" i="6"/>
  <c r="A943" i="6"/>
  <c r="B943" i="6" s="1"/>
  <c r="C942" i="6"/>
  <c r="A942" i="6"/>
  <c r="A941" i="6"/>
  <c r="A940" i="6"/>
  <c r="D940" i="6" s="1"/>
  <c r="A939" i="6"/>
  <c r="A938" i="6"/>
  <c r="B937" i="6"/>
  <c r="A937" i="6"/>
  <c r="D937" i="6" s="1"/>
  <c r="D936" i="6"/>
  <c r="C936" i="6"/>
  <c r="A936" i="6"/>
  <c r="B936" i="6" s="1"/>
  <c r="A935" i="6"/>
  <c r="A934" i="6"/>
  <c r="D933" i="6"/>
  <c r="C933" i="6"/>
  <c r="B933" i="6"/>
  <c r="A933" i="6"/>
  <c r="A932" i="6"/>
  <c r="C931" i="6"/>
  <c r="A931" i="6"/>
  <c r="C930" i="6"/>
  <c r="A930" i="6"/>
  <c r="D930" i="6" s="1"/>
  <c r="A929" i="6"/>
  <c r="A928" i="6"/>
  <c r="C927" i="6"/>
  <c r="A927" i="6"/>
  <c r="D926" i="6"/>
  <c r="A926" i="6"/>
  <c r="C921" i="6"/>
  <c r="A921" i="6"/>
  <c r="B921" i="6" s="1"/>
  <c r="C920" i="6"/>
  <c r="A920" i="6"/>
  <c r="A919" i="6"/>
  <c r="B918" i="6"/>
  <c r="A918" i="6"/>
  <c r="D918" i="6" s="1"/>
  <c r="A917" i="6"/>
  <c r="C917" i="6" s="1"/>
  <c r="A916" i="6"/>
  <c r="A915" i="6"/>
  <c r="D915" i="6" s="1"/>
  <c r="C914" i="6"/>
  <c r="A914" i="6"/>
  <c r="B914" i="6" s="1"/>
  <c r="A913" i="6"/>
  <c r="C912" i="6"/>
  <c r="A912" i="6"/>
  <c r="C911" i="6"/>
  <c r="A911" i="6"/>
  <c r="B911" i="6" s="1"/>
  <c r="A910" i="6"/>
  <c r="C909" i="6"/>
  <c r="A909" i="6"/>
  <c r="C908" i="6"/>
  <c r="A908" i="6"/>
  <c r="D908" i="6" s="1"/>
  <c r="A907" i="6"/>
  <c r="A906" i="6"/>
  <c r="C906" i="6" s="1"/>
  <c r="A905" i="6"/>
  <c r="A904" i="6"/>
  <c r="C903" i="6"/>
  <c r="A903" i="6"/>
  <c r="B903" i="6" s="1"/>
  <c r="A902" i="6"/>
  <c r="A901" i="6"/>
  <c r="A900" i="6"/>
  <c r="C900" i="6" s="1"/>
  <c r="A899" i="6"/>
  <c r="A898" i="6"/>
  <c r="A897" i="6"/>
  <c r="D897" i="6" s="1"/>
  <c r="D896" i="6"/>
  <c r="C896" i="6"/>
  <c r="A896" i="6"/>
  <c r="B896" i="6" s="1"/>
  <c r="A895" i="6"/>
  <c r="A894" i="6"/>
  <c r="C893" i="6"/>
  <c r="A893" i="6"/>
  <c r="D893" i="6" s="1"/>
  <c r="A892" i="6"/>
  <c r="A891" i="6"/>
  <c r="A890" i="6"/>
  <c r="A889" i="6"/>
  <c r="A888" i="6"/>
  <c r="A887" i="6"/>
  <c r="A886" i="6"/>
  <c r="D885" i="6"/>
  <c r="A885" i="6"/>
  <c r="B885" i="6" s="1"/>
  <c r="C884" i="6"/>
  <c r="A884" i="6"/>
  <c r="A883" i="6"/>
  <c r="A882" i="6"/>
  <c r="A881" i="6"/>
  <c r="A880" i="6"/>
  <c r="A879" i="6"/>
  <c r="C878" i="6"/>
  <c r="A878" i="6"/>
  <c r="B878" i="6" s="1"/>
  <c r="A877" i="6"/>
  <c r="A876" i="6"/>
  <c r="C875" i="6"/>
  <c r="B875" i="6"/>
  <c r="A875" i="6"/>
  <c r="D875" i="6" s="1"/>
  <c r="A874" i="6"/>
  <c r="C873" i="6"/>
  <c r="A873" i="6"/>
  <c r="A872" i="6"/>
  <c r="A871" i="6"/>
  <c r="A870" i="6"/>
  <c r="A869" i="6"/>
  <c r="C869" i="6" s="1"/>
  <c r="D868" i="6"/>
  <c r="A868" i="6"/>
  <c r="C867" i="6"/>
  <c r="A867" i="6"/>
  <c r="B867" i="6" s="1"/>
  <c r="C866" i="6"/>
  <c r="A866" i="6"/>
  <c r="A865" i="6"/>
  <c r="C864" i="6"/>
  <c r="B864" i="6"/>
  <c r="A864" i="6"/>
  <c r="D864" i="6" s="1"/>
  <c r="A863" i="6"/>
  <c r="C863" i="6" s="1"/>
  <c r="A862" i="6"/>
  <c r="A861" i="6"/>
  <c r="C860" i="6"/>
  <c r="A860" i="6"/>
  <c r="B860" i="6" s="1"/>
  <c r="A859" i="6"/>
  <c r="A858" i="6"/>
  <c r="D857" i="6"/>
  <c r="C857" i="6"/>
  <c r="B857" i="6"/>
  <c r="A857" i="6"/>
  <c r="A856" i="6"/>
  <c r="C855" i="6"/>
  <c r="A855" i="6"/>
  <c r="A854" i="6"/>
  <c r="A849" i="6"/>
  <c r="A848" i="6"/>
  <c r="A847" i="6"/>
  <c r="A846" i="6"/>
  <c r="D845" i="6"/>
  <c r="C845" i="6"/>
  <c r="A845" i="6"/>
  <c r="B845" i="6" s="1"/>
  <c r="C844" i="6"/>
  <c r="A844" i="6"/>
  <c r="A843" i="6"/>
  <c r="D843" i="6" s="1"/>
  <c r="A842" i="6"/>
  <c r="B842" i="6" s="1"/>
  <c r="C841" i="6"/>
  <c r="A841" i="6"/>
  <c r="C840" i="6"/>
  <c r="A840" i="6"/>
  <c r="D839" i="6"/>
  <c r="A839" i="6"/>
  <c r="A838" i="6"/>
  <c r="A837" i="6"/>
  <c r="D836" i="6"/>
  <c r="C836" i="6"/>
  <c r="A836" i="6"/>
  <c r="B836" i="6" s="1"/>
  <c r="A835" i="6"/>
  <c r="A834" i="6"/>
  <c r="A833" i="6"/>
  <c r="B833" i="6" s="1"/>
  <c r="C832" i="6"/>
  <c r="A832" i="6"/>
  <c r="C827" i="6"/>
  <c r="A827" i="6"/>
  <c r="A826" i="6"/>
  <c r="C825" i="6"/>
  <c r="A825" i="6"/>
  <c r="B824" i="6"/>
  <c r="A824" i="6"/>
  <c r="D824" i="6" s="1"/>
  <c r="D823" i="6"/>
  <c r="C823" i="6"/>
  <c r="A823" i="6"/>
  <c r="B823" i="6" s="1"/>
  <c r="C822" i="6"/>
  <c r="A822" i="6"/>
  <c r="B821" i="6"/>
  <c r="A821" i="6"/>
  <c r="A820" i="6"/>
  <c r="C819" i="6"/>
  <c r="A819" i="6"/>
  <c r="A818" i="6"/>
  <c r="D817" i="6"/>
  <c r="A817" i="6"/>
  <c r="A816" i="6"/>
  <c r="A815" i="6"/>
  <c r="D814" i="6"/>
  <c r="C814" i="6"/>
  <c r="A814" i="6"/>
  <c r="B814" i="6" s="1"/>
  <c r="A813" i="6"/>
  <c r="B812" i="6"/>
  <c r="A812" i="6"/>
  <c r="C811" i="6"/>
  <c r="A811" i="6"/>
  <c r="C810" i="6"/>
  <c r="A810" i="6"/>
  <c r="A809" i="6"/>
  <c r="D808" i="6"/>
  <c r="C808" i="6"/>
  <c r="A808" i="6"/>
  <c r="B808" i="6" s="1"/>
  <c r="C807" i="6"/>
  <c r="A807" i="6"/>
  <c r="A806" i="6"/>
  <c r="D805" i="6"/>
  <c r="C805" i="6"/>
  <c r="A805" i="6"/>
  <c r="B805" i="6" s="1"/>
  <c r="D804" i="6"/>
  <c r="C804" i="6"/>
  <c r="B804" i="6"/>
  <c r="A804" i="6"/>
  <c r="C803" i="6"/>
  <c r="B803" i="6"/>
  <c r="A803" i="6"/>
  <c r="D803" i="6" s="1"/>
  <c r="D802" i="6"/>
  <c r="C802" i="6"/>
  <c r="A802" i="6"/>
  <c r="B802" i="6" s="1"/>
  <c r="D801" i="6"/>
  <c r="B801" i="6"/>
  <c r="A801" i="6"/>
  <c r="C801" i="6" s="1"/>
  <c r="C800" i="6"/>
  <c r="B800" i="6"/>
  <c r="A800" i="6"/>
  <c r="D800" i="6" s="1"/>
  <c r="A799" i="6"/>
  <c r="C798" i="6"/>
  <c r="A798" i="6"/>
  <c r="B797" i="6"/>
  <c r="A797" i="6"/>
  <c r="D796" i="6"/>
  <c r="B796" i="6"/>
  <c r="A796" i="6"/>
  <c r="C796" i="6" s="1"/>
  <c r="C795" i="6"/>
  <c r="A795" i="6"/>
  <c r="D794" i="6"/>
  <c r="A794" i="6"/>
  <c r="B794" i="6" s="1"/>
  <c r="D793" i="6"/>
  <c r="C793" i="6"/>
  <c r="B793" i="6"/>
  <c r="A793" i="6"/>
  <c r="C792" i="6"/>
  <c r="A792" i="6"/>
  <c r="A791" i="6"/>
  <c r="B790" i="6"/>
  <c r="A790" i="6"/>
  <c r="D790" i="6" s="1"/>
  <c r="C789" i="6"/>
  <c r="A789" i="6"/>
  <c r="D788" i="6"/>
  <c r="C788" i="6"/>
  <c r="B788" i="6"/>
  <c r="A788" i="6"/>
  <c r="D787" i="6"/>
  <c r="A787" i="6"/>
  <c r="C786" i="6"/>
  <c r="A786" i="6"/>
  <c r="B786" i="6" s="1"/>
  <c r="B785" i="6"/>
  <c r="A785" i="6"/>
  <c r="D785" i="6" s="1"/>
  <c r="A784" i="6"/>
  <c r="A783" i="6"/>
  <c r="D782" i="6"/>
  <c r="B782" i="6"/>
  <c r="A782" i="6"/>
  <c r="C782" i="6" s="1"/>
  <c r="D781" i="6"/>
  <c r="C781" i="6"/>
  <c r="B781" i="6"/>
  <c r="A781" i="6"/>
  <c r="D780" i="6"/>
  <c r="C780" i="6"/>
  <c r="A780" i="6"/>
  <c r="B780" i="6" s="1"/>
  <c r="D779" i="6"/>
  <c r="C779" i="6"/>
  <c r="A779" i="6"/>
  <c r="B779" i="6" s="1"/>
  <c r="D778" i="6"/>
  <c r="B778" i="6"/>
  <c r="A778" i="6"/>
  <c r="C778" i="6" s="1"/>
  <c r="A777" i="6"/>
  <c r="D776" i="6"/>
  <c r="C776" i="6"/>
  <c r="B776" i="6"/>
  <c r="A776" i="6"/>
  <c r="A775" i="6"/>
  <c r="B775" i="6" s="1"/>
  <c r="D774" i="6"/>
  <c r="C774" i="6"/>
  <c r="A774" i="6"/>
  <c r="B774" i="6" s="1"/>
  <c r="C773" i="6"/>
  <c r="A773" i="6"/>
  <c r="B773" i="6" s="1"/>
  <c r="C772" i="6"/>
  <c r="B772" i="6"/>
  <c r="A772" i="6"/>
  <c r="D772" i="6" s="1"/>
  <c r="A771" i="6"/>
  <c r="A770" i="6"/>
  <c r="A769" i="6"/>
  <c r="A768" i="6"/>
  <c r="D767" i="6"/>
  <c r="C767" i="6"/>
  <c r="B767" i="6"/>
  <c r="A767" i="6"/>
  <c r="D766" i="6"/>
  <c r="C766" i="6"/>
  <c r="A766" i="6"/>
  <c r="B766" i="6" s="1"/>
  <c r="A765" i="6"/>
  <c r="B765" i="6" s="1"/>
  <c r="A764" i="6"/>
  <c r="D764" i="6" s="1"/>
  <c r="D763" i="6"/>
  <c r="C763" i="6"/>
  <c r="B763" i="6"/>
  <c r="A763" i="6"/>
  <c r="C762" i="6"/>
  <c r="A762" i="6"/>
  <c r="A761" i="6"/>
  <c r="A760" i="6"/>
  <c r="C759" i="6"/>
  <c r="A759" i="6"/>
  <c r="D758" i="6"/>
  <c r="B758" i="6"/>
  <c r="A758" i="6"/>
  <c r="C758" i="6" s="1"/>
  <c r="D757" i="6"/>
  <c r="C757" i="6"/>
  <c r="B757" i="6"/>
  <c r="A757" i="6"/>
  <c r="A756" i="6"/>
  <c r="D755" i="6"/>
  <c r="B755" i="6"/>
  <c r="A755" i="6"/>
  <c r="C755" i="6" s="1"/>
  <c r="D754" i="6"/>
  <c r="B754" i="6"/>
  <c r="A754" i="6"/>
  <c r="C754" i="6" s="1"/>
  <c r="D753" i="6"/>
  <c r="C753" i="6"/>
  <c r="A753" i="6"/>
  <c r="B753" i="6" s="1"/>
  <c r="A752" i="6"/>
  <c r="B752" i="6" s="1"/>
  <c r="D751" i="6"/>
  <c r="C751" i="6"/>
  <c r="B751" i="6"/>
  <c r="A751" i="6"/>
  <c r="D750" i="6"/>
  <c r="C750" i="6"/>
  <c r="A750" i="6"/>
  <c r="B750" i="6" s="1"/>
  <c r="B749" i="6"/>
  <c r="A749" i="6"/>
  <c r="A748" i="6"/>
  <c r="D748" i="6" s="1"/>
  <c r="A747" i="6"/>
  <c r="D746" i="6"/>
  <c r="B746" i="6"/>
  <c r="A746" i="6"/>
  <c r="C746" i="6" s="1"/>
  <c r="C745" i="6"/>
  <c r="A745" i="6"/>
  <c r="B745" i="6" s="1"/>
  <c r="D744" i="6"/>
  <c r="C744" i="6"/>
  <c r="A744" i="6"/>
  <c r="B744" i="6" s="1"/>
  <c r="A743" i="6"/>
  <c r="A742" i="6"/>
  <c r="A741" i="6"/>
  <c r="D740" i="6"/>
  <c r="C740" i="6"/>
  <c r="B740" i="6"/>
  <c r="A740" i="6"/>
  <c r="A739" i="6"/>
  <c r="A738" i="6"/>
  <c r="C737" i="6"/>
  <c r="A737" i="6"/>
  <c r="D737" i="6" s="1"/>
  <c r="C736" i="6"/>
  <c r="B736" i="6"/>
  <c r="A736" i="6"/>
  <c r="D736" i="6" s="1"/>
  <c r="C735" i="6"/>
  <c r="A735" i="6"/>
  <c r="C734" i="6"/>
  <c r="A734" i="6"/>
  <c r="B733" i="6"/>
  <c r="A733" i="6"/>
  <c r="C733" i="6" s="1"/>
  <c r="D732" i="6"/>
  <c r="C732" i="6"/>
  <c r="A732" i="6"/>
  <c r="B732" i="6" s="1"/>
  <c r="D731" i="6"/>
  <c r="A731" i="6"/>
  <c r="B731" i="6" s="1"/>
  <c r="D730" i="6"/>
  <c r="A730" i="6"/>
  <c r="C729" i="6"/>
  <c r="A729" i="6"/>
  <c r="B729" i="6" s="1"/>
  <c r="A728" i="6"/>
  <c r="D727" i="6"/>
  <c r="C727" i="6"/>
  <c r="B727" i="6"/>
  <c r="A727" i="6"/>
  <c r="D726" i="6"/>
  <c r="A726" i="6"/>
  <c r="A725" i="6"/>
  <c r="A724" i="6"/>
  <c r="C724" i="6" s="1"/>
  <c r="A723" i="6"/>
  <c r="D722" i="6"/>
  <c r="C722" i="6"/>
  <c r="B722" i="6"/>
  <c r="A722" i="6"/>
  <c r="C721" i="6"/>
  <c r="B721" i="6"/>
  <c r="A721" i="6"/>
  <c r="D721" i="6" s="1"/>
  <c r="A720" i="6"/>
  <c r="A719" i="6"/>
  <c r="D718" i="6"/>
  <c r="A718" i="6"/>
  <c r="D717" i="6"/>
  <c r="C717" i="6"/>
  <c r="A717" i="6"/>
  <c r="B717" i="6" s="1"/>
  <c r="A716" i="6"/>
  <c r="D716" i="6" s="1"/>
  <c r="D715" i="6"/>
  <c r="C715" i="6"/>
  <c r="B715" i="6"/>
  <c r="A715" i="6"/>
  <c r="D714" i="6"/>
  <c r="C714" i="6"/>
  <c r="A714" i="6"/>
  <c r="B714" i="6" s="1"/>
  <c r="B713" i="6"/>
  <c r="A713" i="6"/>
  <c r="D713" i="6" s="1"/>
  <c r="A712" i="6"/>
  <c r="A711" i="6"/>
  <c r="D710" i="6"/>
  <c r="A710" i="6"/>
  <c r="D709" i="6"/>
  <c r="C709" i="6"/>
  <c r="A709" i="6"/>
  <c r="B709" i="6" s="1"/>
  <c r="D708" i="6"/>
  <c r="C708" i="6"/>
  <c r="A708" i="6"/>
  <c r="B708" i="6" s="1"/>
  <c r="A707" i="6"/>
  <c r="C706" i="6"/>
  <c r="A706" i="6"/>
  <c r="D706" i="6" s="1"/>
  <c r="D705" i="6"/>
  <c r="C705" i="6"/>
  <c r="A705" i="6"/>
  <c r="B705" i="6" s="1"/>
  <c r="D704" i="6"/>
  <c r="C704" i="6"/>
  <c r="B704" i="6"/>
  <c r="A704" i="6"/>
  <c r="B703" i="6"/>
  <c r="A703" i="6"/>
  <c r="D702" i="6"/>
  <c r="C702" i="6"/>
  <c r="A702" i="6"/>
  <c r="B702" i="6" s="1"/>
  <c r="D701" i="6"/>
  <c r="C701" i="6"/>
  <c r="B701" i="6"/>
  <c r="A701" i="6"/>
  <c r="C700" i="6"/>
  <c r="B700" i="6"/>
  <c r="A700" i="6"/>
  <c r="D700" i="6" s="1"/>
  <c r="A699" i="6"/>
  <c r="B699" i="6" s="1"/>
  <c r="D698" i="6"/>
  <c r="C698" i="6"/>
  <c r="B698" i="6"/>
  <c r="A698" i="6"/>
  <c r="A697" i="6"/>
  <c r="A696" i="6"/>
  <c r="B695" i="6"/>
  <c r="A695" i="6"/>
  <c r="D694" i="6"/>
  <c r="C694" i="6"/>
  <c r="A694" i="6"/>
  <c r="B694" i="6" s="1"/>
  <c r="C693" i="6"/>
  <c r="A693" i="6"/>
  <c r="C692" i="6"/>
  <c r="A692" i="6"/>
  <c r="D692" i="6" s="1"/>
  <c r="D691" i="6"/>
  <c r="C691" i="6"/>
  <c r="B691" i="6"/>
  <c r="A691" i="6"/>
  <c r="A690" i="6"/>
  <c r="A689" i="6"/>
  <c r="A688" i="6"/>
  <c r="D688" i="6" s="1"/>
  <c r="C687" i="6"/>
  <c r="A687" i="6"/>
  <c r="C686" i="6"/>
  <c r="B686" i="6"/>
  <c r="A686" i="6"/>
  <c r="D686" i="6" s="1"/>
  <c r="D685" i="6"/>
  <c r="C685" i="6"/>
  <c r="B685" i="6"/>
  <c r="A685" i="6"/>
  <c r="D684" i="6"/>
  <c r="A684" i="6"/>
  <c r="D683" i="6"/>
  <c r="A683" i="6"/>
  <c r="A682" i="6"/>
  <c r="D681" i="6"/>
  <c r="C681" i="6"/>
  <c r="A681" i="6"/>
  <c r="B681" i="6" s="1"/>
  <c r="D680" i="6"/>
  <c r="C680" i="6"/>
  <c r="B680" i="6"/>
  <c r="A680" i="6"/>
  <c r="D679" i="6"/>
  <c r="C679" i="6"/>
  <c r="A679" i="6"/>
  <c r="B679" i="6" s="1"/>
  <c r="A678" i="6"/>
  <c r="C677" i="6"/>
  <c r="A677" i="6"/>
  <c r="A676" i="6"/>
  <c r="A675" i="6"/>
  <c r="A674" i="6"/>
  <c r="D673" i="6"/>
  <c r="C673" i="6"/>
  <c r="B673" i="6"/>
  <c r="A673" i="6"/>
  <c r="D672" i="6"/>
  <c r="C672" i="6"/>
  <c r="A672" i="6"/>
  <c r="B672" i="6" s="1"/>
  <c r="C671" i="6"/>
  <c r="A671" i="6"/>
  <c r="B671" i="6" s="1"/>
  <c r="B670" i="6"/>
  <c r="A670" i="6"/>
  <c r="D670" i="6" s="1"/>
  <c r="A669" i="6"/>
  <c r="D668" i="6"/>
  <c r="C668" i="6"/>
  <c r="B668" i="6"/>
  <c r="A668" i="6"/>
  <c r="C667" i="6"/>
  <c r="B667" i="6"/>
  <c r="A667" i="6"/>
  <c r="D667" i="6" s="1"/>
  <c r="D666" i="6"/>
  <c r="C666" i="6"/>
  <c r="A666" i="6"/>
  <c r="B666" i="6" s="1"/>
  <c r="D665" i="6"/>
  <c r="A665" i="6"/>
  <c r="B664" i="6"/>
  <c r="A664" i="6"/>
  <c r="D664" i="6" s="1"/>
  <c r="D663" i="6"/>
  <c r="C663" i="6"/>
  <c r="A663" i="6"/>
  <c r="B663" i="6" s="1"/>
  <c r="B662" i="6"/>
  <c r="A662" i="6"/>
  <c r="A661" i="6"/>
  <c r="D660" i="6"/>
  <c r="C660" i="6"/>
  <c r="A660" i="6"/>
  <c r="B660" i="6" s="1"/>
  <c r="D659" i="6"/>
  <c r="C659" i="6"/>
  <c r="B659" i="6"/>
  <c r="A659" i="6"/>
  <c r="D658" i="6"/>
  <c r="C658" i="6"/>
  <c r="A658" i="6"/>
  <c r="B658" i="6" s="1"/>
  <c r="D657" i="6"/>
  <c r="C657" i="6"/>
  <c r="A657" i="6"/>
  <c r="B657" i="6" s="1"/>
  <c r="D656" i="6"/>
  <c r="B656" i="6"/>
  <c r="A656" i="6"/>
  <c r="C656" i="6" s="1"/>
  <c r="D655" i="6"/>
  <c r="C655" i="6"/>
  <c r="B655" i="6"/>
  <c r="A655" i="6"/>
  <c r="C654" i="6"/>
  <c r="A654" i="6"/>
  <c r="D653" i="6"/>
  <c r="C653" i="6"/>
  <c r="B653" i="6"/>
  <c r="A653" i="6"/>
  <c r="A652" i="6"/>
  <c r="B652" i="6" s="1"/>
  <c r="C651" i="6"/>
  <c r="A651" i="6"/>
  <c r="A650" i="6"/>
  <c r="D649" i="6"/>
  <c r="C649" i="6"/>
  <c r="A649" i="6"/>
  <c r="B649" i="6" s="1"/>
  <c r="A648" i="6"/>
  <c r="D647" i="6"/>
  <c r="B647" i="6"/>
  <c r="A647" i="6"/>
  <c r="C647" i="6" s="1"/>
  <c r="C646" i="6"/>
  <c r="A646" i="6"/>
  <c r="D646" i="6" s="1"/>
  <c r="D645" i="6"/>
  <c r="C645" i="6"/>
  <c r="A645" i="6"/>
  <c r="B645" i="6" s="1"/>
  <c r="A640" i="6"/>
  <c r="B640" i="6" s="1"/>
  <c r="B639" i="6"/>
  <c r="A639" i="6"/>
  <c r="D638" i="6"/>
  <c r="C638" i="6"/>
  <c r="A638" i="6"/>
  <c r="B638" i="6" s="1"/>
  <c r="B637" i="6"/>
  <c r="A637" i="6"/>
  <c r="A636" i="6"/>
  <c r="D636" i="6" s="1"/>
  <c r="A635" i="6"/>
  <c r="D634" i="6"/>
  <c r="B634" i="6"/>
  <c r="A634" i="6"/>
  <c r="C634" i="6" s="1"/>
  <c r="D633" i="6"/>
  <c r="C633" i="6"/>
  <c r="A633" i="6"/>
  <c r="B633" i="6" s="1"/>
  <c r="A632" i="6"/>
  <c r="B632" i="6" s="1"/>
  <c r="A631" i="6"/>
  <c r="D630" i="6"/>
  <c r="A630" i="6"/>
  <c r="C630" i="6" s="1"/>
  <c r="A629" i="6"/>
  <c r="D628" i="6"/>
  <c r="C628" i="6"/>
  <c r="B628" i="6"/>
  <c r="A628" i="6"/>
  <c r="A627" i="6"/>
  <c r="A626" i="6"/>
  <c r="D625" i="6"/>
  <c r="C625" i="6"/>
  <c r="B625" i="6"/>
  <c r="A625" i="6"/>
  <c r="A624" i="6"/>
  <c r="D624" i="6" s="1"/>
  <c r="C623" i="6"/>
  <c r="B623" i="6"/>
  <c r="A623" i="6"/>
  <c r="D623" i="6" s="1"/>
  <c r="D622" i="6"/>
  <c r="C622" i="6"/>
  <c r="B622" i="6"/>
  <c r="A622" i="6"/>
  <c r="C621" i="6"/>
  <c r="A621" i="6"/>
  <c r="D621" i="6" s="1"/>
  <c r="B620" i="6"/>
  <c r="A620" i="6"/>
  <c r="C620" i="6" s="1"/>
  <c r="B619" i="6"/>
  <c r="A619" i="6"/>
  <c r="C618" i="6"/>
  <c r="B618" i="6"/>
  <c r="A618" i="6"/>
  <c r="D618" i="6" s="1"/>
  <c r="D617" i="6"/>
  <c r="A617" i="6"/>
  <c r="B617" i="6" s="1"/>
  <c r="B616" i="6"/>
  <c r="A616" i="6"/>
  <c r="C616" i="6" s="1"/>
  <c r="B615" i="6"/>
  <c r="A615" i="6"/>
  <c r="D614" i="6"/>
  <c r="C614" i="6"/>
  <c r="B614" i="6"/>
  <c r="A614" i="6"/>
  <c r="D613" i="6"/>
  <c r="C613" i="6"/>
  <c r="A613" i="6"/>
  <c r="B613" i="6" s="1"/>
  <c r="C612" i="6"/>
  <c r="B612" i="6"/>
  <c r="A612" i="6"/>
  <c r="D612" i="6" s="1"/>
  <c r="A611" i="6"/>
  <c r="C610" i="6"/>
  <c r="B610" i="6"/>
  <c r="A610" i="6"/>
  <c r="D610" i="6" s="1"/>
  <c r="A609" i="6"/>
  <c r="D609" i="6" s="1"/>
  <c r="B608" i="6"/>
  <c r="A608" i="6"/>
  <c r="D607" i="6"/>
  <c r="B607" i="6"/>
  <c r="A607" i="6"/>
  <c r="C607" i="6" s="1"/>
  <c r="B606" i="6"/>
  <c r="A606" i="6"/>
  <c r="B605" i="6"/>
  <c r="A605" i="6"/>
  <c r="D605" i="6" s="1"/>
  <c r="A604" i="6"/>
  <c r="C603" i="6"/>
  <c r="A603" i="6"/>
  <c r="D602" i="6"/>
  <c r="C602" i="6"/>
  <c r="A602" i="6"/>
  <c r="B602" i="6" s="1"/>
  <c r="D601" i="6"/>
  <c r="C601" i="6"/>
  <c r="B601" i="6"/>
  <c r="A601" i="6"/>
  <c r="C600" i="6"/>
  <c r="B600" i="6"/>
  <c r="A600" i="6"/>
  <c r="D600" i="6" s="1"/>
  <c r="D599" i="6"/>
  <c r="C599" i="6"/>
  <c r="B599" i="6"/>
  <c r="A599" i="6"/>
  <c r="B598" i="6"/>
  <c r="A598" i="6"/>
  <c r="D598" i="6" s="1"/>
  <c r="A597" i="6"/>
  <c r="B596" i="6"/>
  <c r="A596" i="6"/>
  <c r="D596" i="6" s="1"/>
  <c r="D595" i="6"/>
  <c r="C595" i="6"/>
  <c r="A595" i="6"/>
  <c r="B595" i="6" s="1"/>
  <c r="A594" i="6"/>
  <c r="A593" i="6"/>
  <c r="D592" i="6"/>
  <c r="C592" i="6"/>
  <c r="B592" i="6"/>
  <c r="A592" i="6"/>
  <c r="C591" i="6"/>
  <c r="B591" i="6"/>
  <c r="A591" i="6"/>
  <c r="D591" i="6" s="1"/>
  <c r="C590" i="6"/>
  <c r="A590" i="6"/>
  <c r="B590" i="6" s="1"/>
  <c r="C589" i="6"/>
  <c r="B589" i="6"/>
  <c r="A589" i="6"/>
  <c r="D589" i="6" s="1"/>
  <c r="C588" i="6"/>
  <c r="A588" i="6"/>
  <c r="C587" i="6"/>
  <c r="B587" i="6"/>
  <c r="A587" i="6"/>
  <c r="D587" i="6" s="1"/>
  <c r="D586" i="6"/>
  <c r="A586" i="6"/>
  <c r="A585" i="6"/>
  <c r="D585" i="6" s="1"/>
  <c r="D584" i="6"/>
  <c r="B584" i="6"/>
  <c r="A584" i="6"/>
  <c r="C584" i="6" s="1"/>
  <c r="A583" i="6"/>
  <c r="A582" i="6"/>
  <c r="A581" i="6"/>
  <c r="D580" i="6"/>
  <c r="B580" i="6"/>
  <c r="A580" i="6"/>
  <c r="C580" i="6" s="1"/>
  <c r="A579" i="6"/>
  <c r="D578" i="6"/>
  <c r="C578" i="6"/>
  <c r="B578" i="6"/>
  <c r="A578" i="6"/>
  <c r="D577" i="6"/>
  <c r="C577" i="6"/>
  <c r="A577" i="6"/>
  <c r="B577" i="6" s="1"/>
  <c r="C576" i="6"/>
  <c r="B576" i="6"/>
  <c r="A576" i="6"/>
  <c r="D576" i="6" s="1"/>
  <c r="C575" i="6"/>
  <c r="B575" i="6"/>
  <c r="A575" i="6"/>
  <c r="D575" i="6" s="1"/>
  <c r="C574" i="6"/>
  <c r="B574" i="6"/>
  <c r="A574" i="6"/>
  <c r="D574" i="6" s="1"/>
  <c r="C573" i="6"/>
  <c r="A573" i="6"/>
  <c r="A572" i="6"/>
  <c r="A571" i="6"/>
  <c r="B570" i="6"/>
  <c r="A570" i="6"/>
  <c r="D569" i="6"/>
  <c r="C569" i="6"/>
  <c r="B569" i="6"/>
  <c r="A569" i="6"/>
  <c r="A568" i="6"/>
  <c r="C567" i="6"/>
  <c r="A567" i="6"/>
  <c r="B566" i="6"/>
  <c r="A566" i="6"/>
  <c r="D566" i="6" s="1"/>
  <c r="D565" i="6"/>
  <c r="C565" i="6"/>
  <c r="B565" i="6"/>
  <c r="A565" i="6"/>
  <c r="C564" i="6"/>
  <c r="B564" i="6"/>
  <c r="A564" i="6"/>
  <c r="D564" i="6" s="1"/>
  <c r="C563" i="6"/>
  <c r="A563" i="6"/>
  <c r="D563" i="6" s="1"/>
  <c r="D562" i="6"/>
  <c r="C562" i="6"/>
  <c r="B562" i="6"/>
  <c r="A562" i="6"/>
  <c r="B561" i="6"/>
  <c r="A561" i="6"/>
  <c r="C560" i="6"/>
  <c r="B560" i="6"/>
  <c r="A560" i="6"/>
  <c r="D560" i="6" s="1"/>
  <c r="A559" i="6"/>
  <c r="A558" i="6"/>
  <c r="D557" i="6"/>
  <c r="B557" i="6"/>
  <c r="A557" i="6"/>
  <c r="C557" i="6" s="1"/>
  <c r="D556" i="6"/>
  <c r="A556" i="6"/>
  <c r="C555" i="6"/>
  <c r="B555" i="6"/>
  <c r="A555" i="6"/>
  <c r="D555" i="6" s="1"/>
  <c r="D554" i="6"/>
  <c r="C554" i="6"/>
  <c r="A554" i="6"/>
  <c r="B554" i="6" s="1"/>
  <c r="B553" i="6"/>
  <c r="A553" i="6"/>
  <c r="D553" i="6" s="1"/>
  <c r="A552" i="6"/>
  <c r="C551" i="6"/>
  <c r="B551" i="6"/>
  <c r="A551" i="6"/>
  <c r="D551" i="6" s="1"/>
  <c r="D550" i="6"/>
  <c r="C550" i="6"/>
  <c r="B550" i="6"/>
  <c r="A550" i="6"/>
  <c r="C549" i="6"/>
  <c r="B549" i="6"/>
  <c r="A549" i="6"/>
  <c r="D549" i="6" s="1"/>
  <c r="B548" i="6"/>
  <c r="A548" i="6"/>
  <c r="C548" i="6" s="1"/>
  <c r="C547" i="6"/>
  <c r="A547" i="6"/>
  <c r="C546" i="6"/>
  <c r="B546" i="6"/>
  <c r="A546" i="6"/>
  <c r="D546" i="6" s="1"/>
  <c r="D545" i="6"/>
  <c r="C545" i="6"/>
  <c r="A545" i="6"/>
  <c r="B545" i="6" s="1"/>
  <c r="A544" i="6"/>
  <c r="C544" i="6" s="1"/>
  <c r="C543" i="6"/>
  <c r="A543" i="6"/>
  <c r="D542" i="6"/>
  <c r="C542" i="6"/>
  <c r="B542" i="6"/>
  <c r="A542" i="6"/>
  <c r="A541" i="6"/>
  <c r="C540" i="6"/>
  <c r="B540" i="6"/>
  <c r="A540" i="6"/>
  <c r="D540" i="6" s="1"/>
  <c r="D539" i="6"/>
  <c r="C539" i="6"/>
  <c r="B539" i="6"/>
  <c r="A539" i="6"/>
  <c r="C538" i="6"/>
  <c r="B538" i="6"/>
  <c r="A538" i="6"/>
  <c r="D538" i="6" s="1"/>
  <c r="A537" i="6"/>
  <c r="D536" i="6"/>
  <c r="C536" i="6"/>
  <c r="A536" i="6"/>
  <c r="B536" i="6" s="1"/>
  <c r="D535" i="6"/>
  <c r="B535" i="6"/>
  <c r="A535" i="6"/>
  <c r="C535" i="6" s="1"/>
  <c r="C534" i="6"/>
  <c r="A534" i="6"/>
  <c r="D534" i="6" s="1"/>
  <c r="C533" i="6"/>
  <c r="A533" i="6"/>
  <c r="D533" i="6" s="1"/>
  <c r="D532" i="6"/>
  <c r="C532" i="6"/>
  <c r="A532" i="6"/>
  <c r="B532" i="6" s="1"/>
  <c r="A531" i="6"/>
  <c r="B530" i="6"/>
  <c r="A530" i="6"/>
  <c r="D529" i="6"/>
  <c r="C529" i="6"/>
  <c r="B529" i="6"/>
  <c r="A529" i="6"/>
  <c r="C528" i="6"/>
  <c r="A528" i="6"/>
  <c r="D528" i="6" s="1"/>
  <c r="D527" i="6"/>
  <c r="A527" i="6"/>
  <c r="D526" i="6"/>
  <c r="C526" i="6"/>
  <c r="B526" i="6"/>
  <c r="A526" i="6"/>
  <c r="B525" i="6"/>
  <c r="A525" i="6"/>
  <c r="B524" i="6"/>
  <c r="A524" i="6"/>
  <c r="D524" i="6" s="1"/>
  <c r="A523" i="6"/>
  <c r="C522" i="6"/>
  <c r="A522" i="6"/>
  <c r="D521" i="6"/>
  <c r="C521" i="6"/>
  <c r="A521" i="6"/>
  <c r="B521" i="6" s="1"/>
  <c r="A520" i="6"/>
  <c r="C519" i="6"/>
  <c r="B519" i="6"/>
  <c r="A519" i="6"/>
  <c r="D519" i="6" s="1"/>
  <c r="D518" i="6"/>
  <c r="C518" i="6"/>
  <c r="B518" i="6"/>
  <c r="A518" i="6"/>
  <c r="C517" i="6"/>
  <c r="A517" i="6"/>
  <c r="D517" i="6" s="1"/>
  <c r="C516" i="6"/>
  <c r="A516" i="6"/>
  <c r="D516" i="6" s="1"/>
  <c r="B515" i="6"/>
  <c r="A515" i="6"/>
  <c r="D515" i="6" s="1"/>
  <c r="A514" i="6"/>
  <c r="A513" i="6"/>
  <c r="D512" i="6"/>
  <c r="A512" i="6"/>
  <c r="C512" i="6" s="1"/>
  <c r="D511" i="6"/>
  <c r="C511" i="6"/>
  <c r="B511" i="6"/>
  <c r="A511" i="6"/>
  <c r="B510" i="6"/>
  <c r="A510" i="6"/>
  <c r="D510" i="6" s="1"/>
  <c r="A509" i="6"/>
  <c r="D508" i="6"/>
  <c r="C508" i="6"/>
  <c r="A508" i="6"/>
  <c r="B508" i="6" s="1"/>
  <c r="C507" i="6"/>
  <c r="A507" i="6"/>
  <c r="D507" i="6" s="1"/>
  <c r="D506" i="6"/>
  <c r="C506" i="6"/>
  <c r="B506" i="6"/>
  <c r="A506" i="6"/>
  <c r="C505" i="6"/>
  <c r="B505" i="6"/>
  <c r="A505" i="6"/>
  <c r="D505" i="6" s="1"/>
  <c r="C504" i="6"/>
  <c r="B504" i="6"/>
  <c r="A504" i="6"/>
  <c r="D504" i="6" s="1"/>
  <c r="C503" i="6"/>
  <c r="A503" i="6"/>
  <c r="D503" i="6" s="1"/>
  <c r="A502" i="6"/>
  <c r="D502" i="6" s="1"/>
  <c r="A501" i="6"/>
  <c r="A500" i="6"/>
  <c r="A499" i="6"/>
  <c r="C498" i="6"/>
  <c r="B498" i="6"/>
  <c r="A498" i="6"/>
  <c r="D498" i="6" s="1"/>
  <c r="D497" i="6"/>
  <c r="C497" i="6"/>
  <c r="A497" i="6"/>
  <c r="B497" i="6" s="1"/>
  <c r="D496" i="6"/>
  <c r="A496" i="6"/>
  <c r="C496" i="6" s="1"/>
  <c r="D495" i="6"/>
  <c r="C495" i="6"/>
  <c r="A495" i="6"/>
  <c r="B495" i="6" s="1"/>
  <c r="D494" i="6"/>
  <c r="C494" i="6"/>
  <c r="B494" i="6"/>
  <c r="A494" i="6"/>
  <c r="B493" i="6"/>
  <c r="A493" i="6"/>
  <c r="C493" i="6" s="1"/>
  <c r="A492" i="6"/>
  <c r="D491" i="6"/>
  <c r="C491" i="6"/>
  <c r="B491" i="6"/>
  <c r="A491" i="6"/>
  <c r="A490" i="6"/>
  <c r="A489" i="6"/>
  <c r="C488" i="6"/>
  <c r="A488" i="6"/>
  <c r="D488" i="6" s="1"/>
  <c r="A487" i="6"/>
  <c r="C487" i="6" s="1"/>
  <c r="D486" i="6"/>
  <c r="A486" i="6"/>
  <c r="C485" i="6"/>
  <c r="B485" i="6"/>
  <c r="A485" i="6"/>
  <c r="D485" i="6" s="1"/>
  <c r="D484" i="6"/>
  <c r="B484" i="6"/>
  <c r="A484" i="6"/>
  <c r="C484" i="6" s="1"/>
  <c r="C483" i="6"/>
  <c r="A483" i="6"/>
  <c r="D483" i="6" s="1"/>
  <c r="D482" i="6"/>
  <c r="C482" i="6"/>
  <c r="A482" i="6"/>
  <c r="B482" i="6" s="1"/>
  <c r="D481" i="6"/>
  <c r="B481" i="6"/>
  <c r="A481" i="6"/>
  <c r="C481" i="6" s="1"/>
  <c r="B480" i="6"/>
  <c r="A480" i="6"/>
  <c r="D480" i="6" s="1"/>
  <c r="C479" i="6"/>
  <c r="A479" i="6"/>
  <c r="D479" i="6" s="1"/>
  <c r="D478" i="6"/>
  <c r="B478" i="6"/>
  <c r="A478" i="6"/>
  <c r="C478" i="6" s="1"/>
  <c r="A477" i="6"/>
  <c r="B476" i="6"/>
  <c r="A476" i="6"/>
  <c r="D475" i="6"/>
  <c r="B475" i="6"/>
  <c r="A475" i="6"/>
  <c r="C475" i="6" s="1"/>
  <c r="D474" i="6"/>
  <c r="A474" i="6"/>
  <c r="C474" i="6" s="1"/>
  <c r="A473" i="6"/>
  <c r="D472" i="6"/>
  <c r="A472" i="6"/>
  <c r="C472" i="6" s="1"/>
  <c r="D471" i="6"/>
  <c r="C471" i="6"/>
  <c r="B471" i="6"/>
  <c r="A471" i="6"/>
  <c r="C470" i="6"/>
  <c r="A470" i="6"/>
  <c r="D470" i="6" s="1"/>
  <c r="A469" i="6"/>
  <c r="D468" i="6"/>
  <c r="C468" i="6"/>
  <c r="B468" i="6"/>
  <c r="A468" i="6"/>
  <c r="B467" i="6"/>
  <c r="A467" i="6"/>
  <c r="D467" i="6" s="1"/>
  <c r="B466" i="6"/>
  <c r="A466" i="6"/>
  <c r="A465" i="6"/>
  <c r="A464" i="6"/>
  <c r="A463" i="6"/>
  <c r="C462" i="6"/>
  <c r="B462" i="6"/>
  <c r="A462" i="6"/>
  <c r="D462" i="6" s="1"/>
  <c r="D461" i="6"/>
  <c r="A461" i="6"/>
  <c r="C461" i="6" s="1"/>
  <c r="D460" i="6"/>
  <c r="A460" i="6"/>
  <c r="C460" i="6" s="1"/>
  <c r="D459" i="6"/>
  <c r="C459" i="6"/>
  <c r="B459" i="6"/>
  <c r="A459" i="6"/>
  <c r="D458" i="6"/>
  <c r="C458" i="6"/>
  <c r="B458" i="6"/>
  <c r="A458" i="6"/>
  <c r="B453" i="6"/>
  <c r="A453" i="6"/>
  <c r="C453" i="6" s="1"/>
  <c r="C452" i="6"/>
  <c r="A452" i="6"/>
  <c r="D452" i="6" s="1"/>
  <c r="D451" i="6"/>
  <c r="C451" i="6"/>
  <c r="B451" i="6"/>
  <c r="A451" i="6"/>
  <c r="A450" i="6"/>
  <c r="A449" i="6"/>
  <c r="B448" i="6"/>
  <c r="A448" i="6"/>
  <c r="D448" i="6" s="1"/>
  <c r="D447" i="6"/>
  <c r="A447" i="6"/>
  <c r="C447" i="6" s="1"/>
  <c r="A446" i="6"/>
  <c r="C445" i="6"/>
  <c r="A445" i="6"/>
  <c r="D445" i="6" s="1"/>
  <c r="D444" i="6"/>
  <c r="B444" i="6"/>
  <c r="A444" i="6"/>
  <c r="C444" i="6" s="1"/>
  <c r="C443" i="6"/>
  <c r="A443" i="6"/>
  <c r="D443" i="6" s="1"/>
  <c r="D442" i="6"/>
  <c r="B442" i="6"/>
  <c r="A442" i="6"/>
  <c r="C442" i="6" s="1"/>
  <c r="D441" i="6"/>
  <c r="B441" i="6"/>
  <c r="A441" i="6"/>
  <c r="C441" i="6" s="1"/>
  <c r="B440" i="6"/>
  <c r="A440" i="6"/>
  <c r="D440" i="6" s="1"/>
  <c r="A439" i="6"/>
  <c r="A438" i="6"/>
  <c r="C438" i="6" s="1"/>
  <c r="D437" i="6"/>
  <c r="A437" i="6"/>
  <c r="A436" i="6"/>
  <c r="D436" i="6" s="1"/>
  <c r="A435" i="6"/>
  <c r="D434" i="6"/>
  <c r="C434" i="6"/>
  <c r="A434" i="6"/>
  <c r="B434" i="6" s="1"/>
  <c r="D433" i="6"/>
  <c r="C433" i="6"/>
  <c r="B433" i="6"/>
  <c r="A433" i="6"/>
  <c r="C432" i="6"/>
  <c r="A432" i="6"/>
  <c r="D432" i="6" s="1"/>
  <c r="D431" i="6"/>
  <c r="A431" i="6"/>
  <c r="B431" i="6" s="1"/>
  <c r="C430" i="6"/>
  <c r="A430" i="6"/>
  <c r="D430" i="6" s="1"/>
  <c r="B429" i="6"/>
  <c r="A429" i="6"/>
  <c r="D429" i="6" s="1"/>
  <c r="D428" i="6"/>
  <c r="C428" i="6"/>
  <c r="A428" i="6"/>
  <c r="B428" i="6" s="1"/>
  <c r="B427" i="6"/>
  <c r="A427" i="6"/>
  <c r="D427" i="6" s="1"/>
  <c r="A426" i="6"/>
  <c r="D426" i="6" s="1"/>
  <c r="A425" i="6"/>
  <c r="A424" i="6"/>
  <c r="D424" i="6" s="1"/>
  <c r="D423" i="6"/>
  <c r="C423" i="6"/>
  <c r="B423" i="6"/>
  <c r="A423" i="6"/>
  <c r="D422" i="6"/>
  <c r="A422" i="6"/>
  <c r="B422" i="6" s="1"/>
  <c r="D421" i="6"/>
  <c r="A421" i="6"/>
  <c r="C421" i="6" s="1"/>
  <c r="D420" i="6"/>
  <c r="C420" i="6"/>
  <c r="B420" i="6"/>
  <c r="A420" i="6"/>
  <c r="C419" i="6"/>
  <c r="A419" i="6"/>
  <c r="B419" i="6" s="1"/>
  <c r="D418" i="6"/>
  <c r="C418" i="6"/>
  <c r="A418" i="6"/>
  <c r="B418" i="6" s="1"/>
  <c r="C417" i="6"/>
  <c r="A417" i="6"/>
  <c r="D417" i="6" s="1"/>
  <c r="A416" i="6"/>
  <c r="B416" i="6" s="1"/>
  <c r="D415" i="6"/>
  <c r="C415" i="6"/>
  <c r="B415" i="6"/>
  <c r="A415" i="6"/>
  <c r="B414" i="6"/>
  <c r="A414" i="6"/>
  <c r="D414" i="6" s="1"/>
  <c r="D413" i="6"/>
  <c r="C413" i="6"/>
  <c r="A413" i="6"/>
  <c r="B413" i="6" s="1"/>
  <c r="A412" i="6"/>
  <c r="A411" i="6"/>
  <c r="D411" i="6" s="1"/>
  <c r="D410" i="6"/>
  <c r="C410" i="6"/>
  <c r="A410" i="6"/>
  <c r="B410" i="6" s="1"/>
  <c r="C409" i="6"/>
  <c r="A409" i="6"/>
  <c r="D409" i="6" s="1"/>
  <c r="D408" i="6"/>
  <c r="A408" i="6"/>
  <c r="C408" i="6" s="1"/>
  <c r="D407" i="6"/>
  <c r="A407" i="6"/>
  <c r="B407" i="6" s="1"/>
  <c r="B406" i="6"/>
  <c r="A406" i="6"/>
  <c r="D406" i="6" s="1"/>
  <c r="D405" i="6"/>
  <c r="C405" i="6"/>
  <c r="A405" i="6"/>
  <c r="B405" i="6" s="1"/>
  <c r="C404" i="6"/>
  <c r="A404" i="6"/>
  <c r="B404" i="6" s="1"/>
  <c r="A403" i="6"/>
  <c r="D403" i="6" s="1"/>
  <c r="D402" i="6"/>
  <c r="C402" i="6"/>
  <c r="B402" i="6"/>
  <c r="A402" i="6"/>
  <c r="A401" i="6"/>
  <c r="B401" i="6" s="1"/>
  <c r="D400" i="6"/>
  <c r="C400" i="6"/>
  <c r="A400" i="6"/>
  <c r="B400" i="6" s="1"/>
  <c r="A399" i="6"/>
  <c r="A398" i="6"/>
  <c r="B398" i="6" s="1"/>
  <c r="D397" i="6"/>
  <c r="C397" i="6"/>
  <c r="B397" i="6"/>
  <c r="A397" i="6"/>
  <c r="C396" i="6"/>
  <c r="A396" i="6"/>
  <c r="D396" i="6" s="1"/>
  <c r="D395" i="6"/>
  <c r="A395" i="6"/>
  <c r="B395" i="6" s="1"/>
  <c r="C394" i="6"/>
  <c r="A394" i="6"/>
  <c r="D394" i="6" s="1"/>
  <c r="B393" i="6"/>
  <c r="A393" i="6"/>
  <c r="D393" i="6" s="1"/>
  <c r="D392" i="6"/>
  <c r="C392" i="6"/>
  <c r="A392" i="6"/>
  <c r="B392" i="6" s="1"/>
  <c r="B391" i="6"/>
  <c r="A391" i="6"/>
  <c r="D391" i="6" s="1"/>
  <c r="A390" i="6"/>
  <c r="D390" i="6" s="1"/>
  <c r="A389" i="6"/>
  <c r="A388" i="6"/>
  <c r="D388" i="6" s="1"/>
  <c r="D387" i="6"/>
  <c r="C387" i="6"/>
  <c r="B387" i="6"/>
  <c r="A387" i="6"/>
  <c r="D386" i="6"/>
  <c r="A386" i="6"/>
  <c r="B386" i="6" s="1"/>
  <c r="D385" i="6"/>
  <c r="A385" i="6"/>
  <c r="C385" i="6" s="1"/>
  <c r="D384" i="6"/>
  <c r="C384" i="6"/>
  <c r="B384" i="6"/>
  <c r="A384" i="6"/>
  <c r="C383" i="6"/>
  <c r="A383" i="6"/>
  <c r="B383" i="6" s="1"/>
  <c r="D382" i="6"/>
  <c r="C382" i="6"/>
  <c r="A382" i="6"/>
  <c r="B382" i="6" s="1"/>
  <c r="C381" i="6"/>
  <c r="A381" i="6"/>
  <c r="D381" i="6" s="1"/>
  <c r="A380" i="6"/>
  <c r="B380" i="6" s="1"/>
  <c r="D379" i="6"/>
  <c r="C379" i="6"/>
  <c r="B379" i="6"/>
  <c r="A379" i="6"/>
  <c r="B378" i="6"/>
  <c r="A378" i="6"/>
  <c r="D378" i="6" s="1"/>
  <c r="D377" i="6"/>
  <c r="A377" i="6"/>
  <c r="B377" i="6" s="1"/>
  <c r="A376" i="6"/>
  <c r="A375" i="6"/>
  <c r="D375" i="6" s="1"/>
  <c r="D374" i="6"/>
  <c r="C374" i="6"/>
  <c r="A374" i="6"/>
  <c r="B374" i="6" s="1"/>
  <c r="C373" i="6"/>
  <c r="A373" i="6"/>
  <c r="D373" i="6" s="1"/>
  <c r="D372" i="6"/>
  <c r="A372" i="6"/>
  <c r="C372" i="6" s="1"/>
  <c r="D371" i="6"/>
  <c r="A371" i="6"/>
  <c r="B371" i="6" s="1"/>
  <c r="B370" i="6"/>
  <c r="A370" i="6"/>
  <c r="D370" i="6" s="1"/>
  <c r="D369" i="6"/>
  <c r="C369" i="6"/>
  <c r="A369" i="6"/>
  <c r="B369" i="6" s="1"/>
  <c r="C368" i="6"/>
  <c r="A368" i="6"/>
  <c r="B368" i="6" s="1"/>
  <c r="A367" i="6"/>
  <c r="D367" i="6" s="1"/>
  <c r="D366" i="6"/>
  <c r="C366" i="6"/>
  <c r="B366" i="6"/>
  <c r="A366" i="6"/>
  <c r="A365" i="6"/>
  <c r="B365" i="6" s="1"/>
  <c r="D364" i="6"/>
  <c r="C364" i="6"/>
  <c r="A364" i="6"/>
  <c r="B364" i="6" s="1"/>
  <c r="A363" i="6"/>
  <c r="A362" i="6"/>
  <c r="B362" i="6" s="1"/>
  <c r="D361" i="6"/>
  <c r="C361" i="6"/>
  <c r="B361" i="6"/>
  <c r="A361" i="6"/>
  <c r="C360" i="6"/>
  <c r="A360" i="6"/>
  <c r="D360" i="6" s="1"/>
  <c r="D359" i="6"/>
  <c r="A359" i="6"/>
  <c r="B359" i="6" s="1"/>
  <c r="C358" i="6"/>
  <c r="A358" i="6"/>
  <c r="D358" i="6" s="1"/>
  <c r="B357" i="6"/>
  <c r="A357" i="6"/>
  <c r="D357" i="6" s="1"/>
  <c r="D356" i="6"/>
  <c r="C356" i="6"/>
  <c r="A356" i="6"/>
  <c r="B356" i="6" s="1"/>
  <c r="D355" i="6"/>
  <c r="B355" i="6"/>
  <c r="A355" i="6"/>
  <c r="C355" i="6" s="1"/>
  <c r="A354" i="6"/>
  <c r="D354" i="6" s="1"/>
  <c r="A353" i="6"/>
  <c r="A352" i="6"/>
  <c r="D352" i="6" s="1"/>
  <c r="D351" i="6"/>
  <c r="C351" i="6"/>
  <c r="A351" i="6"/>
  <c r="B351" i="6" s="1"/>
  <c r="D350" i="6"/>
  <c r="A350" i="6"/>
  <c r="B350" i="6" s="1"/>
  <c r="D349" i="6"/>
  <c r="A349" i="6"/>
  <c r="C349" i="6" s="1"/>
  <c r="D348" i="6"/>
  <c r="C348" i="6"/>
  <c r="B348" i="6"/>
  <c r="A348" i="6"/>
  <c r="C347" i="6"/>
  <c r="A347" i="6"/>
  <c r="B347" i="6" s="1"/>
  <c r="D346" i="6"/>
  <c r="C346" i="6"/>
  <c r="A346" i="6"/>
  <c r="B346" i="6" s="1"/>
  <c r="C345" i="6"/>
  <c r="A345" i="6"/>
  <c r="D345" i="6" s="1"/>
  <c r="A344" i="6"/>
  <c r="B344" i="6" s="1"/>
  <c r="D343" i="6"/>
  <c r="C343" i="6"/>
  <c r="B343" i="6"/>
  <c r="A343" i="6"/>
  <c r="D342" i="6"/>
  <c r="B342" i="6"/>
  <c r="A342" i="6"/>
  <c r="C342" i="6" s="1"/>
  <c r="D341" i="6"/>
  <c r="A341" i="6"/>
  <c r="B341" i="6" s="1"/>
  <c r="A340" i="6"/>
  <c r="A339" i="6"/>
  <c r="D339" i="6" s="1"/>
  <c r="D338" i="6"/>
  <c r="C338" i="6"/>
  <c r="A338" i="6"/>
  <c r="B338" i="6" s="1"/>
  <c r="C337" i="6"/>
  <c r="A337" i="6"/>
  <c r="D337" i="6" s="1"/>
  <c r="D336" i="6"/>
  <c r="B336" i="6"/>
  <c r="A336" i="6"/>
  <c r="C336" i="6" s="1"/>
  <c r="D335" i="6"/>
  <c r="A335" i="6"/>
  <c r="B335" i="6" s="1"/>
  <c r="B334" i="6"/>
  <c r="A334" i="6"/>
  <c r="D334" i="6" s="1"/>
  <c r="D333" i="6"/>
  <c r="C333" i="6"/>
  <c r="A333" i="6"/>
  <c r="B333" i="6" s="1"/>
  <c r="C332" i="6"/>
  <c r="A332" i="6"/>
  <c r="B332" i="6" s="1"/>
  <c r="A331" i="6"/>
  <c r="D331" i="6" s="1"/>
  <c r="D330" i="6"/>
  <c r="C330" i="6"/>
  <c r="B330" i="6"/>
  <c r="A330" i="6"/>
  <c r="A329" i="6"/>
  <c r="B329" i="6" s="1"/>
  <c r="D328" i="6"/>
  <c r="C328" i="6"/>
  <c r="A328" i="6"/>
  <c r="B328" i="6" s="1"/>
  <c r="A327" i="6"/>
  <c r="C326" i="6"/>
  <c r="A326" i="6"/>
  <c r="B326" i="6" s="1"/>
  <c r="D325" i="6"/>
  <c r="C325" i="6"/>
  <c r="B325" i="6"/>
  <c r="A325" i="6"/>
  <c r="C324" i="6"/>
  <c r="A324" i="6"/>
  <c r="D324" i="6" s="1"/>
  <c r="D323" i="6"/>
  <c r="A323" i="6"/>
  <c r="B323" i="6" s="1"/>
  <c r="C322" i="6"/>
  <c r="A322" i="6"/>
  <c r="D322" i="6" s="1"/>
  <c r="B321" i="6"/>
  <c r="A321" i="6"/>
  <c r="D321" i="6" s="1"/>
  <c r="D320" i="6"/>
  <c r="C320" i="6"/>
  <c r="A320" i="6"/>
  <c r="B320" i="6" s="1"/>
  <c r="D319" i="6"/>
  <c r="B319" i="6"/>
  <c r="A319" i="6"/>
  <c r="C319" i="6" s="1"/>
  <c r="A318" i="6"/>
  <c r="D318" i="6" s="1"/>
  <c r="A317" i="6"/>
  <c r="A316" i="6"/>
  <c r="D316" i="6" s="1"/>
  <c r="D315" i="6"/>
  <c r="C315" i="6"/>
  <c r="A315" i="6"/>
  <c r="B315" i="6" s="1"/>
  <c r="D314" i="6"/>
  <c r="A314" i="6"/>
  <c r="B314" i="6" s="1"/>
  <c r="D313" i="6"/>
  <c r="B313" i="6"/>
  <c r="A313" i="6"/>
  <c r="C313" i="6" s="1"/>
  <c r="D312" i="6"/>
  <c r="C312" i="6"/>
  <c r="B312" i="6"/>
  <c r="A312" i="6"/>
  <c r="C311" i="6"/>
  <c r="A311" i="6"/>
  <c r="B311" i="6" s="1"/>
  <c r="D310" i="6"/>
  <c r="C310" i="6"/>
  <c r="A310" i="6"/>
  <c r="B310" i="6" s="1"/>
  <c r="A309" i="6"/>
  <c r="D309" i="6" s="1"/>
  <c r="A308" i="6"/>
  <c r="D307" i="6"/>
  <c r="C307" i="6"/>
  <c r="B307" i="6"/>
  <c r="A307" i="6"/>
  <c r="D306" i="6"/>
  <c r="B306" i="6"/>
  <c r="A306" i="6"/>
  <c r="C306" i="6" s="1"/>
  <c r="D305" i="6"/>
  <c r="A305" i="6"/>
  <c r="B305" i="6" s="1"/>
  <c r="A304" i="6"/>
  <c r="A303" i="6"/>
  <c r="D303" i="6" s="1"/>
  <c r="D302" i="6"/>
  <c r="C302" i="6"/>
  <c r="A302" i="6"/>
  <c r="B302" i="6" s="1"/>
  <c r="C301" i="6"/>
  <c r="A301" i="6"/>
  <c r="D301" i="6" s="1"/>
  <c r="D300" i="6"/>
  <c r="B300" i="6"/>
  <c r="A300" i="6"/>
  <c r="C300" i="6" s="1"/>
  <c r="D299" i="6"/>
  <c r="A299" i="6"/>
  <c r="B299" i="6" s="1"/>
  <c r="B298" i="6"/>
  <c r="A298" i="6"/>
  <c r="D298" i="6" s="1"/>
  <c r="D297" i="6"/>
  <c r="C297" i="6"/>
  <c r="A297" i="6"/>
  <c r="B297" i="6" s="1"/>
  <c r="C296" i="6"/>
  <c r="A296" i="6"/>
  <c r="B296" i="6" s="1"/>
  <c r="D295" i="6"/>
  <c r="A295" i="6"/>
  <c r="D294" i="6"/>
  <c r="C294" i="6"/>
  <c r="B294" i="6"/>
  <c r="A294" i="6"/>
  <c r="A293" i="6"/>
  <c r="D292" i="6"/>
  <c r="C292" i="6"/>
  <c r="A292" i="6"/>
  <c r="B292" i="6" s="1"/>
  <c r="B291" i="6"/>
  <c r="A291" i="6"/>
  <c r="C291" i="6" s="1"/>
  <c r="C290" i="6"/>
  <c r="A290" i="6"/>
  <c r="B290" i="6" s="1"/>
  <c r="D289" i="6"/>
  <c r="C289" i="6"/>
  <c r="B289" i="6"/>
  <c r="A289" i="6"/>
  <c r="C288" i="6"/>
  <c r="A288" i="6"/>
  <c r="A287" i="6"/>
  <c r="A286" i="6"/>
  <c r="D286" i="6" s="1"/>
  <c r="B285" i="6"/>
  <c r="A285" i="6"/>
  <c r="D285" i="6" s="1"/>
  <c r="D284" i="6"/>
  <c r="C284" i="6"/>
  <c r="A284" i="6"/>
  <c r="B284" i="6" s="1"/>
  <c r="D283" i="6"/>
  <c r="A283" i="6"/>
  <c r="C283" i="6" s="1"/>
  <c r="A282" i="6"/>
  <c r="D281" i="6"/>
  <c r="C281" i="6"/>
  <c r="A281" i="6"/>
  <c r="B281" i="6" s="1"/>
  <c r="A280" i="6"/>
  <c r="D279" i="6"/>
  <c r="C279" i="6"/>
  <c r="A279" i="6"/>
  <c r="B279" i="6" s="1"/>
  <c r="A278" i="6"/>
  <c r="B278" i="6" s="1"/>
  <c r="D277" i="6"/>
  <c r="B277" i="6"/>
  <c r="A277" i="6"/>
  <c r="C277" i="6" s="1"/>
  <c r="D276" i="6"/>
  <c r="C276" i="6"/>
  <c r="B276" i="6"/>
  <c r="A276" i="6"/>
  <c r="D275" i="6"/>
  <c r="A275" i="6"/>
  <c r="B275" i="6" s="1"/>
  <c r="A274" i="6"/>
  <c r="B274" i="6" s="1"/>
  <c r="C273" i="6"/>
  <c r="A273" i="6"/>
  <c r="D273" i="6" s="1"/>
  <c r="C272" i="6"/>
  <c r="A272" i="6"/>
  <c r="D271" i="6"/>
  <c r="C271" i="6"/>
  <c r="B271" i="6"/>
  <c r="A271" i="6"/>
  <c r="C266" i="6"/>
  <c r="A266" i="6"/>
  <c r="D266" i="6" s="1"/>
  <c r="A265" i="6"/>
  <c r="D264" i="6"/>
  <c r="B264" i="6"/>
  <c r="A264" i="6"/>
  <c r="C264" i="6" s="1"/>
  <c r="A263" i="6"/>
  <c r="D263" i="6" s="1"/>
  <c r="D262" i="6"/>
  <c r="C262" i="6"/>
  <c r="A262" i="6"/>
  <c r="B262" i="6" s="1"/>
  <c r="C261" i="6"/>
  <c r="B261" i="6"/>
  <c r="A261" i="6"/>
  <c r="D261" i="6" s="1"/>
  <c r="D260" i="6"/>
  <c r="A260" i="6"/>
  <c r="C260" i="6" s="1"/>
  <c r="A259" i="6"/>
  <c r="B259" i="6" s="1"/>
  <c r="C258" i="6"/>
  <c r="B258" i="6"/>
  <c r="A258" i="6"/>
  <c r="D258" i="6" s="1"/>
  <c r="D257" i="6"/>
  <c r="C257" i="6"/>
  <c r="A257" i="6"/>
  <c r="B257" i="6" s="1"/>
  <c r="D256" i="6"/>
  <c r="A256" i="6"/>
  <c r="B256" i="6" s="1"/>
  <c r="A255" i="6"/>
  <c r="C255" i="6" s="1"/>
  <c r="D254" i="6"/>
  <c r="C254" i="6"/>
  <c r="B254" i="6"/>
  <c r="A254" i="6"/>
  <c r="A253" i="6"/>
  <c r="B253" i="6" s="1"/>
  <c r="D252" i="6"/>
  <c r="C252" i="6"/>
  <c r="A252" i="6"/>
  <c r="B252" i="6" s="1"/>
  <c r="C251" i="6"/>
  <c r="A251" i="6"/>
  <c r="D251" i="6" s="1"/>
  <c r="A250" i="6"/>
  <c r="D249" i="6"/>
  <c r="C249" i="6"/>
  <c r="B249" i="6"/>
  <c r="A249" i="6"/>
  <c r="A248" i="6"/>
  <c r="D248" i="6" s="1"/>
  <c r="A247" i="6"/>
  <c r="C246" i="6"/>
  <c r="B246" i="6"/>
  <c r="A246" i="6"/>
  <c r="D246" i="6" s="1"/>
  <c r="C245" i="6"/>
  <c r="A245" i="6"/>
  <c r="D245" i="6" s="1"/>
  <c r="D244" i="6"/>
  <c r="C244" i="6"/>
  <c r="A244" i="6"/>
  <c r="B244" i="6" s="1"/>
  <c r="C243" i="6"/>
  <c r="A243" i="6"/>
  <c r="D243" i="6" s="1"/>
  <c r="A242" i="6"/>
  <c r="C242" i="6" s="1"/>
  <c r="D241" i="6"/>
  <c r="C241" i="6"/>
  <c r="A241" i="6"/>
  <c r="B241" i="6" s="1"/>
  <c r="C240" i="6"/>
  <c r="B240" i="6"/>
  <c r="A240" i="6"/>
  <c r="D240" i="6" s="1"/>
  <c r="D239" i="6"/>
  <c r="A239" i="6"/>
  <c r="B239" i="6" s="1"/>
  <c r="A238" i="6"/>
  <c r="B238" i="6" s="1"/>
  <c r="B237" i="6"/>
  <c r="A237" i="6"/>
  <c r="C237" i="6" s="1"/>
  <c r="D236" i="6"/>
  <c r="C236" i="6"/>
  <c r="B236" i="6"/>
  <c r="A236" i="6"/>
  <c r="A235" i="6"/>
  <c r="B235" i="6" s="1"/>
  <c r="C234" i="6"/>
  <c r="A234" i="6"/>
  <c r="B234" i="6" s="1"/>
  <c r="A233" i="6"/>
  <c r="D233" i="6" s="1"/>
  <c r="A232" i="6"/>
  <c r="D231" i="6"/>
  <c r="C231" i="6"/>
  <c r="B231" i="6"/>
  <c r="A231" i="6"/>
  <c r="D230" i="6"/>
  <c r="B230" i="6"/>
  <c r="A230" i="6"/>
  <c r="C230" i="6" s="1"/>
  <c r="A229" i="6"/>
  <c r="C228" i="6"/>
  <c r="A228" i="6"/>
  <c r="D228" i="6" s="1"/>
  <c r="A227" i="6"/>
  <c r="D227" i="6" s="1"/>
  <c r="D226" i="6"/>
  <c r="C226" i="6"/>
  <c r="A226" i="6"/>
  <c r="B226" i="6" s="1"/>
  <c r="C225" i="6"/>
  <c r="A225" i="6"/>
  <c r="D225" i="6" s="1"/>
  <c r="A224" i="6"/>
  <c r="C224" i="6" s="1"/>
  <c r="C223" i="6"/>
  <c r="A223" i="6"/>
  <c r="B223" i="6" s="1"/>
  <c r="A222" i="6"/>
  <c r="D222" i="6" s="1"/>
  <c r="D221" i="6"/>
  <c r="A221" i="6"/>
  <c r="B221" i="6" s="1"/>
  <c r="A220" i="6"/>
  <c r="B220" i="6" s="1"/>
  <c r="B219" i="6"/>
  <c r="A219" i="6"/>
  <c r="C219" i="6" s="1"/>
  <c r="D218" i="6"/>
  <c r="C218" i="6"/>
  <c r="B218" i="6"/>
  <c r="A218" i="6"/>
  <c r="D217" i="6"/>
  <c r="C217" i="6"/>
  <c r="A217" i="6"/>
  <c r="B217" i="6" s="1"/>
  <c r="D216" i="6"/>
  <c r="C216" i="6"/>
  <c r="A216" i="6"/>
  <c r="B216" i="6" s="1"/>
  <c r="D215" i="6"/>
  <c r="C215" i="6"/>
  <c r="B215" i="6"/>
  <c r="A215" i="6"/>
  <c r="A214" i="6"/>
  <c r="D213" i="6"/>
  <c r="C213" i="6"/>
  <c r="B213" i="6"/>
  <c r="A213" i="6"/>
  <c r="D212" i="6"/>
  <c r="B212" i="6"/>
  <c r="A212" i="6"/>
  <c r="C212" i="6" s="1"/>
  <c r="D211" i="6"/>
  <c r="A211" i="6"/>
  <c r="C210" i="6"/>
  <c r="A210" i="6"/>
  <c r="D210" i="6" s="1"/>
  <c r="A209" i="6"/>
  <c r="D209" i="6" s="1"/>
  <c r="D208" i="6"/>
  <c r="C208" i="6"/>
  <c r="A208" i="6"/>
  <c r="B208" i="6" s="1"/>
  <c r="A207" i="6"/>
  <c r="D207" i="6" s="1"/>
  <c r="D206" i="6"/>
  <c r="B206" i="6"/>
  <c r="A206" i="6"/>
  <c r="C206" i="6" s="1"/>
  <c r="D205" i="6"/>
  <c r="C205" i="6"/>
  <c r="A205" i="6"/>
  <c r="B205" i="6" s="1"/>
  <c r="C204" i="6"/>
  <c r="A204" i="6"/>
  <c r="D204" i="6" s="1"/>
  <c r="A203" i="6"/>
  <c r="B203" i="6" s="1"/>
  <c r="D202" i="6"/>
  <c r="C202" i="6"/>
  <c r="A202" i="6"/>
  <c r="B202" i="6" s="1"/>
  <c r="D201" i="6"/>
  <c r="B201" i="6"/>
  <c r="A201" i="6"/>
  <c r="C201" i="6" s="1"/>
  <c r="D200" i="6"/>
  <c r="C200" i="6"/>
  <c r="B200" i="6"/>
  <c r="A200" i="6"/>
  <c r="D199" i="6"/>
  <c r="C199" i="6"/>
  <c r="A199" i="6"/>
  <c r="B199" i="6" s="1"/>
  <c r="D198" i="6"/>
  <c r="A198" i="6"/>
  <c r="B198" i="6" s="1"/>
  <c r="D197" i="6"/>
  <c r="B197" i="6"/>
  <c r="A197" i="6"/>
  <c r="C197" i="6" s="1"/>
  <c r="C196" i="6"/>
  <c r="A196" i="6"/>
  <c r="D195" i="6"/>
  <c r="C195" i="6"/>
  <c r="B195" i="6"/>
  <c r="A195" i="6"/>
  <c r="C194" i="6"/>
  <c r="B194" i="6"/>
  <c r="A194" i="6"/>
  <c r="D194" i="6" s="1"/>
  <c r="D193" i="6"/>
  <c r="A193" i="6"/>
  <c r="A192" i="6"/>
  <c r="D192" i="6" s="1"/>
  <c r="C191" i="6"/>
  <c r="B191" i="6"/>
  <c r="A191" i="6"/>
  <c r="D191" i="6" s="1"/>
  <c r="D190" i="6"/>
  <c r="C190" i="6"/>
  <c r="A190" i="6"/>
  <c r="B190" i="6" s="1"/>
  <c r="D189" i="6"/>
  <c r="C189" i="6"/>
  <c r="B189" i="6"/>
  <c r="A189" i="6"/>
  <c r="D188" i="6"/>
  <c r="B188" i="6"/>
  <c r="A188" i="6"/>
  <c r="C188" i="6" s="1"/>
  <c r="D187" i="6"/>
  <c r="A187" i="6"/>
  <c r="B187" i="6" s="1"/>
  <c r="A186" i="6"/>
  <c r="D186" i="6" s="1"/>
  <c r="D185" i="6"/>
  <c r="C185" i="6"/>
  <c r="A185" i="6"/>
  <c r="B185" i="6" s="1"/>
  <c r="D184" i="6"/>
  <c r="C184" i="6"/>
  <c r="A184" i="6"/>
  <c r="B184" i="6" s="1"/>
  <c r="D183" i="6"/>
  <c r="A183" i="6"/>
  <c r="C183" i="6" s="1"/>
  <c r="D182" i="6"/>
  <c r="C182" i="6"/>
  <c r="B182" i="6"/>
  <c r="A182" i="6"/>
  <c r="A181" i="6"/>
  <c r="B181" i="6" s="1"/>
  <c r="D180" i="6"/>
  <c r="A180" i="6"/>
  <c r="B180" i="6" s="1"/>
  <c r="C179" i="6"/>
  <c r="B179" i="6"/>
  <c r="A179" i="6"/>
  <c r="D179" i="6" s="1"/>
  <c r="C178" i="6"/>
  <c r="A178" i="6"/>
  <c r="D177" i="6"/>
  <c r="C177" i="6"/>
  <c r="B177" i="6"/>
  <c r="A177" i="6"/>
  <c r="C176" i="6"/>
  <c r="A176" i="6"/>
  <c r="D176" i="6" s="1"/>
  <c r="D175" i="6"/>
  <c r="A175" i="6"/>
  <c r="D174" i="6"/>
  <c r="C174" i="6"/>
  <c r="B174" i="6"/>
  <c r="A174" i="6"/>
  <c r="C173" i="6"/>
  <c r="B173" i="6"/>
  <c r="A173" i="6"/>
  <c r="D173" i="6" s="1"/>
  <c r="D172" i="6"/>
  <c r="C172" i="6"/>
  <c r="A172" i="6"/>
  <c r="B172" i="6" s="1"/>
  <c r="D171" i="6"/>
  <c r="B171" i="6"/>
  <c r="A171" i="6"/>
  <c r="C171" i="6" s="1"/>
  <c r="A170" i="6"/>
  <c r="C170" i="6" s="1"/>
  <c r="D169" i="6"/>
  <c r="A169" i="6"/>
  <c r="B169" i="6" s="1"/>
  <c r="A168" i="6"/>
  <c r="D168" i="6" s="1"/>
  <c r="C167" i="6"/>
  <c r="A167" i="6"/>
  <c r="B167" i="6" s="1"/>
  <c r="A166" i="6"/>
  <c r="B166" i="6" s="1"/>
  <c r="D165" i="6"/>
  <c r="A165" i="6"/>
  <c r="C165" i="6" s="1"/>
  <c r="D164" i="6"/>
  <c r="C164" i="6"/>
  <c r="B164" i="6"/>
  <c r="A164" i="6"/>
  <c r="D163" i="6"/>
  <c r="A163" i="6"/>
  <c r="B163" i="6" s="1"/>
  <c r="A162" i="6"/>
  <c r="B162" i="6" s="1"/>
  <c r="C161" i="6"/>
  <c r="A161" i="6"/>
  <c r="D161" i="6" s="1"/>
  <c r="C160" i="6"/>
  <c r="A160" i="6"/>
  <c r="D159" i="6"/>
  <c r="C159" i="6"/>
  <c r="B159" i="6"/>
  <c r="A159" i="6"/>
  <c r="C158" i="6"/>
  <c r="A158" i="6"/>
  <c r="D158" i="6" s="1"/>
  <c r="A157" i="6"/>
  <c r="D156" i="6"/>
  <c r="B156" i="6"/>
  <c r="A156" i="6"/>
  <c r="C156" i="6" s="1"/>
  <c r="A155" i="6"/>
  <c r="D155" i="6" s="1"/>
  <c r="D154" i="6"/>
  <c r="C154" i="6"/>
  <c r="A154" i="6"/>
  <c r="B154" i="6" s="1"/>
  <c r="C153" i="6"/>
  <c r="B153" i="6"/>
  <c r="A153" i="6"/>
  <c r="D153" i="6" s="1"/>
  <c r="D152" i="6"/>
  <c r="A152" i="6"/>
  <c r="C152" i="6" s="1"/>
  <c r="A151" i="6"/>
  <c r="B151" i="6" s="1"/>
  <c r="C150" i="6"/>
  <c r="B150" i="6"/>
  <c r="A150" i="6"/>
  <c r="D150" i="6" s="1"/>
  <c r="D149" i="6"/>
  <c r="C149" i="6"/>
  <c r="A149" i="6"/>
  <c r="B149" i="6" s="1"/>
  <c r="D148" i="6"/>
  <c r="A148" i="6"/>
  <c r="B148" i="6" s="1"/>
  <c r="A147" i="6"/>
  <c r="C147" i="6" s="1"/>
  <c r="D146" i="6"/>
  <c r="C146" i="6"/>
  <c r="B146" i="6"/>
  <c r="A146" i="6"/>
  <c r="A145" i="6"/>
  <c r="B145" i="6" s="1"/>
  <c r="D144" i="6"/>
  <c r="C144" i="6"/>
  <c r="A144" i="6"/>
  <c r="B144" i="6" s="1"/>
  <c r="C143" i="6"/>
  <c r="A143" i="6"/>
  <c r="D143" i="6" s="1"/>
  <c r="A142" i="6"/>
  <c r="D141" i="6"/>
  <c r="C141" i="6"/>
  <c r="B141" i="6"/>
  <c r="A141" i="6"/>
  <c r="A140" i="6"/>
  <c r="D140" i="6" s="1"/>
  <c r="A139" i="6"/>
  <c r="C138" i="6"/>
  <c r="B138" i="6"/>
  <c r="A138" i="6"/>
  <c r="D138" i="6" s="1"/>
  <c r="C137" i="6"/>
  <c r="A137" i="6"/>
  <c r="D137" i="6" s="1"/>
  <c r="D136" i="6"/>
  <c r="C136" i="6"/>
  <c r="A136" i="6"/>
  <c r="B136" i="6" s="1"/>
  <c r="C135" i="6"/>
  <c r="A135" i="6"/>
  <c r="D135" i="6" s="1"/>
  <c r="A134" i="6"/>
  <c r="C134" i="6" s="1"/>
  <c r="D133" i="6"/>
  <c r="C133" i="6"/>
  <c r="A133" i="6"/>
  <c r="B133" i="6" s="1"/>
  <c r="C132" i="6"/>
  <c r="B132" i="6"/>
  <c r="A132" i="6"/>
  <c r="D132" i="6" s="1"/>
  <c r="D131" i="6"/>
  <c r="A131" i="6"/>
  <c r="B131" i="6" s="1"/>
  <c r="A130" i="6"/>
  <c r="B130" i="6" s="1"/>
  <c r="B129" i="6"/>
  <c r="A129" i="6"/>
  <c r="C129" i="6" s="1"/>
  <c r="D128" i="6"/>
  <c r="C128" i="6"/>
  <c r="B128" i="6"/>
  <c r="A128" i="6"/>
  <c r="A127" i="6"/>
  <c r="B127" i="6" s="1"/>
  <c r="C126" i="6"/>
  <c r="A126" i="6"/>
  <c r="B126" i="6" s="1"/>
  <c r="A125" i="6"/>
  <c r="D125" i="6" s="1"/>
  <c r="A124" i="6"/>
  <c r="D123" i="6"/>
  <c r="C123" i="6"/>
  <c r="B123" i="6"/>
  <c r="A123" i="6"/>
  <c r="D122" i="6"/>
  <c r="B122" i="6"/>
  <c r="A122" i="6"/>
  <c r="C122" i="6" s="1"/>
  <c r="A121" i="6"/>
  <c r="C120" i="6"/>
  <c r="A120" i="6"/>
  <c r="D120" i="6" s="1"/>
  <c r="A119" i="6"/>
  <c r="D119" i="6" s="1"/>
  <c r="D118" i="6"/>
  <c r="C118" i="6"/>
  <c r="A118" i="6"/>
  <c r="B118" i="6" s="1"/>
  <c r="A117" i="6"/>
  <c r="C117" i="6" s="1"/>
  <c r="A116" i="6"/>
  <c r="C116" i="6" s="1"/>
  <c r="C115" i="6"/>
  <c r="A115" i="6"/>
  <c r="B115" i="6" s="1"/>
  <c r="A114" i="6"/>
  <c r="D114" i="6" s="1"/>
  <c r="A113" i="6"/>
  <c r="B113" i="6" s="1"/>
  <c r="A112" i="6"/>
  <c r="B112" i="6" s="1"/>
  <c r="B111" i="6"/>
  <c r="A111" i="6"/>
  <c r="C111" i="6" s="1"/>
  <c r="D110" i="6"/>
  <c r="C110" i="6"/>
  <c r="B110" i="6"/>
  <c r="A110" i="6"/>
  <c r="D109" i="6"/>
  <c r="C109" i="6"/>
  <c r="A109" i="6"/>
  <c r="B109" i="6" s="1"/>
  <c r="D108" i="6"/>
  <c r="C108" i="6"/>
  <c r="A108" i="6"/>
  <c r="B108" i="6" s="1"/>
  <c r="D107" i="6"/>
  <c r="C107" i="6"/>
  <c r="B107" i="6"/>
  <c r="A107" i="6"/>
  <c r="A106" i="6"/>
  <c r="C106" i="6" s="1"/>
  <c r="D105" i="6"/>
  <c r="C105" i="6"/>
  <c r="B105" i="6"/>
  <c r="A105" i="6"/>
  <c r="D104" i="6"/>
  <c r="B104" i="6"/>
  <c r="A104" i="6"/>
  <c r="C104" i="6" s="1"/>
  <c r="D103" i="6"/>
  <c r="A103" i="6"/>
  <c r="A102" i="6"/>
  <c r="D102" i="6" s="1"/>
  <c r="A101" i="6"/>
  <c r="D101" i="6" s="1"/>
  <c r="D100" i="6"/>
  <c r="C100" i="6"/>
  <c r="A100" i="6"/>
  <c r="B100" i="6" s="1"/>
  <c r="A99" i="6"/>
  <c r="D99" i="6" s="1"/>
  <c r="D98" i="6"/>
  <c r="B98" i="6"/>
  <c r="A98" i="6"/>
  <c r="C98" i="6" s="1"/>
  <c r="D97" i="6"/>
  <c r="C97" i="6"/>
  <c r="A97" i="6"/>
  <c r="B97" i="6" s="1"/>
  <c r="C96" i="6"/>
  <c r="A96" i="6"/>
  <c r="D96" i="6" s="1"/>
  <c r="A95" i="6"/>
  <c r="B95" i="6" s="1"/>
  <c r="D94" i="6"/>
  <c r="C94" i="6"/>
  <c r="A94" i="6"/>
  <c r="B94" i="6" s="1"/>
  <c r="D93" i="6"/>
  <c r="B93" i="6"/>
  <c r="A93" i="6"/>
  <c r="C93" i="6" s="1"/>
  <c r="D92" i="6"/>
  <c r="C92" i="6"/>
  <c r="B92" i="6"/>
  <c r="A92" i="6"/>
  <c r="D91" i="6"/>
  <c r="C91" i="6"/>
  <c r="A91" i="6"/>
  <c r="B91" i="6" s="1"/>
  <c r="D90" i="6"/>
  <c r="A90" i="6"/>
  <c r="B90" i="6" s="1"/>
  <c r="D89" i="6"/>
  <c r="B89" i="6"/>
  <c r="A89" i="6"/>
  <c r="C89" i="6" s="1"/>
  <c r="C88" i="6"/>
  <c r="A88" i="6"/>
  <c r="D87" i="6"/>
  <c r="C87" i="6"/>
  <c r="B87" i="6"/>
  <c r="A87" i="6"/>
  <c r="C86" i="6"/>
  <c r="B86" i="6"/>
  <c r="A86" i="6"/>
  <c r="D86" i="6" s="1"/>
  <c r="D85" i="6"/>
  <c r="A85" i="6"/>
  <c r="A84" i="6"/>
  <c r="D84" i="6" s="1"/>
  <c r="C83" i="6"/>
  <c r="B83" i="6"/>
  <c r="A83" i="6"/>
  <c r="D83" i="6" s="1"/>
  <c r="D82" i="6"/>
  <c r="C82" i="6"/>
  <c r="A82" i="6"/>
  <c r="B82" i="6" s="1"/>
  <c r="D81" i="6"/>
  <c r="C81" i="6"/>
  <c r="B81" i="6"/>
  <c r="A81" i="6"/>
  <c r="D80" i="6"/>
  <c r="B80" i="6"/>
  <c r="A80" i="6"/>
  <c r="C80" i="6" s="1"/>
  <c r="D79" i="6"/>
  <c r="A79" i="6"/>
  <c r="B79" i="6" s="1"/>
  <c r="A78" i="6"/>
  <c r="D78" i="6" s="1"/>
  <c r="D77" i="6"/>
  <c r="C77" i="6"/>
  <c r="A77" i="6"/>
  <c r="B77" i="6" s="1"/>
  <c r="D76" i="6"/>
  <c r="C76" i="6"/>
  <c r="A76" i="6"/>
  <c r="B76" i="6" s="1"/>
  <c r="D75" i="6"/>
  <c r="A75" i="6"/>
  <c r="C75" i="6" s="1"/>
  <c r="D74" i="6"/>
  <c r="C74" i="6"/>
  <c r="B74" i="6"/>
  <c r="A74" i="6"/>
  <c r="A73" i="6"/>
  <c r="B73" i="6" s="1"/>
  <c r="D72" i="6"/>
  <c r="C72" i="6"/>
  <c r="B72" i="6"/>
  <c r="A72" i="6"/>
  <c r="A71" i="6"/>
  <c r="D71" i="6" s="1"/>
  <c r="A70" i="6"/>
  <c r="D69" i="6"/>
  <c r="C69" i="6"/>
  <c r="B69" i="6"/>
  <c r="A69" i="6"/>
  <c r="D68" i="6"/>
  <c r="A68" i="6"/>
  <c r="C68" i="6" s="1"/>
  <c r="C67" i="6"/>
  <c r="A67" i="6"/>
  <c r="B67" i="6" s="1"/>
  <c r="A66" i="6"/>
  <c r="D66" i="6" s="1"/>
  <c r="C65" i="6"/>
  <c r="A65" i="6"/>
  <c r="D65" i="6" s="1"/>
  <c r="A64" i="6"/>
  <c r="B64" i="6" s="1"/>
  <c r="A63" i="6"/>
  <c r="D63" i="6" s="1"/>
  <c r="D62" i="6"/>
  <c r="C62" i="6"/>
  <c r="B62" i="6"/>
  <c r="A62" i="6"/>
  <c r="D61" i="6"/>
  <c r="C61" i="6"/>
  <c r="A61" i="6"/>
  <c r="B61" i="6" s="1"/>
  <c r="D60" i="6"/>
  <c r="C60" i="6"/>
  <c r="B60" i="6"/>
  <c r="A60" i="6"/>
  <c r="A59" i="6"/>
  <c r="D59" i="6" s="1"/>
  <c r="A58" i="6"/>
  <c r="B58" i="6" s="1"/>
  <c r="C57" i="6"/>
  <c r="A57" i="6"/>
  <c r="B57" i="6" s="1"/>
  <c r="D56" i="6"/>
  <c r="C56" i="6"/>
  <c r="B56" i="6"/>
  <c r="A56" i="6"/>
  <c r="D55" i="6"/>
  <c r="A55" i="6"/>
  <c r="B55" i="6" s="1"/>
  <c r="D54" i="6"/>
  <c r="B54" i="6"/>
  <c r="A54" i="6"/>
  <c r="C54" i="6" s="1"/>
  <c r="A53" i="6"/>
  <c r="D53" i="6" s="1"/>
  <c r="D52" i="6"/>
  <c r="C52" i="6"/>
  <c r="A52" i="6"/>
  <c r="B52" i="6" s="1"/>
  <c r="A51" i="6"/>
  <c r="C51" i="6" s="1"/>
  <c r="A50" i="6"/>
  <c r="D50" i="6" s="1"/>
  <c r="A49" i="6"/>
  <c r="B49" i="6" s="1"/>
  <c r="C48" i="6"/>
  <c r="B48" i="6"/>
  <c r="A48" i="6"/>
  <c r="D48" i="6" s="1"/>
  <c r="D47" i="6"/>
  <c r="C47" i="6"/>
  <c r="B47" i="6"/>
  <c r="A47" i="6"/>
  <c r="D46" i="6"/>
  <c r="C46" i="6"/>
  <c r="A46" i="6"/>
  <c r="B46" i="6" s="1"/>
  <c r="D45" i="6"/>
  <c r="A45" i="6"/>
  <c r="C45" i="6" s="1"/>
  <c r="C44" i="6"/>
  <c r="A44" i="6"/>
  <c r="B44" i="6" s="1"/>
  <c r="A43" i="6"/>
  <c r="B43" i="6" s="1"/>
  <c r="D42" i="6"/>
  <c r="C42" i="6"/>
  <c r="A42" i="6"/>
  <c r="B42" i="6" s="1"/>
  <c r="D41" i="6"/>
  <c r="B41" i="6"/>
  <c r="A41" i="6"/>
  <c r="C41" i="6" s="1"/>
  <c r="A40" i="6"/>
  <c r="B40" i="6" s="1"/>
  <c r="D39" i="6"/>
  <c r="C39" i="6"/>
  <c r="B39" i="6"/>
  <c r="A39" i="6"/>
  <c r="A38" i="6"/>
  <c r="D38" i="6" s="1"/>
  <c r="D37" i="6"/>
  <c r="C37" i="6"/>
  <c r="A37" i="6"/>
  <c r="B37" i="6" s="1"/>
  <c r="A36" i="6"/>
  <c r="C36" i="6" s="1"/>
  <c r="C35" i="6"/>
  <c r="B35" i="6"/>
  <c r="A35" i="6"/>
  <c r="D35" i="6" s="1"/>
  <c r="D34" i="6"/>
  <c r="A34" i="6"/>
  <c r="B34" i="6" s="1"/>
  <c r="D33" i="6"/>
  <c r="C33" i="6"/>
  <c r="B33" i="6"/>
  <c r="A33" i="6"/>
  <c r="D32" i="6"/>
  <c r="A32" i="6"/>
  <c r="C32" i="6" s="1"/>
  <c r="C31" i="6"/>
  <c r="A31" i="6"/>
  <c r="B31" i="6" s="1"/>
  <c r="D30" i="6"/>
  <c r="C30" i="6"/>
  <c r="B30" i="6"/>
  <c r="A30" i="6"/>
  <c r="D29" i="6"/>
  <c r="A29" i="6"/>
  <c r="C29" i="6" s="1"/>
  <c r="C28" i="6"/>
  <c r="A28" i="6"/>
  <c r="B28" i="6" s="1"/>
  <c r="D27" i="6"/>
  <c r="C27" i="6"/>
  <c r="B27" i="6"/>
  <c r="A27" i="6"/>
  <c r="D26" i="6"/>
  <c r="A26" i="6"/>
  <c r="C26" i="6" s="1"/>
  <c r="C25" i="6"/>
  <c r="A25" i="6"/>
  <c r="B25" i="6" s="1"/>
  <c r="D24" i="6"/>
  <c r="C24" i="6"/>
  <c r="B24" i="6"/>
  <c r="A24" i="6"/>
  <c r="D23" i="6"/>
  <c r="A23" i="6"/>
  <c r="C23" i="6" s="1"/>
  <c r="C22" i="6"/>
  <c r="A22" i="6"/>
  <c r="B22" i="6" s="1"/>
  <c r="D21" i="6"/>
  <c r="C21" i="6"/>
  <c r="B21" i="6"/>
  <c r="A21" i="6"/>
  <c r="D20" i="6"/>
  <c r="A20" i="6"/>
  <c r="C20" i="6" s="1"/>
  <c r="C19" i="6"/>
  <c r="A19" i="6"/>
  <c r="B19" i="6" s="1"/>
  <c r="D18" i="6"/>
  <c r="C18" i="6"/>
  <c r="B18" i="6"/>
  <c r="A18" i="6"/>
  <c r="D17" i="6"/>
  <c r="A17" i="6"/>
  <c r="C17" i="6" s="1"/>
  <c r="C16" i="6"/>
  <c r="A16" i="6"/>
  <c r="B16" i="6" s="1"/>
  <c r="E11" i="6"/>
  <c r="B11" i="6"/>
  <c r="E10" i="6"/>
  <c r="B10" i="6"/>
  <c r="E9" i="6"/>
  <c r="B9" i="6"/>
  <c r="E8" i="6"/>
  <c r="B8" i="6"/>
  <c r="E7" i="6"/>
  <c r="E6" i="6"/>
  <c r="B6" i="6"/>
  <c r="E5" i="6"/>
  <c r="B5" i="6"/>
  <c r="B7" i="6" s="1"/>
  <c r="G21" i="1"/>
  <c r="E21" i="1"/>
  <c r="C21" i="1"/>
  <c r="A21" i="1"/>
  <c r="B293" i="6" l="1"/>
  <c r="C293" i="6"/>
  <c r="D650" i="6"/>
  <c r="C650" i="6"/>
  <c r="B650" i="6"/>
  <c r="D16" i="6"/>
  <c r="D19" i="6"/>
  <c r="D22" i="6"/>
  <c r="D25" i="6"/>
  <c r="D28" i="6"/>
  <c r="D31" i="6"/>
  <c r="B38" i="6"/>
  <c r="D44" i="6"/>
  <c r="B51" i="6"/>
  <c r="D57" i="6"/>
  <c r="C64" i="6"/>
  <c r="D67" i="6"/>
  <c r="B71" i="6"/>
  <c r="B78" i="6"/>
  <c r="D111" i="6"/>
  <c r="D115" i="6"/>
  <c r="B119" i="6"/>
  <c r="D126" i="6"/>
  <c r="C130" i="6"/>
  <c r="B134" i="6"/>
  <c r="C145" i="6"/>
  <c r="B160" i="6"/>
  <c r="D160" i="6"/>
  <c r="D167" i="6"/>
  <c r="B175" i="6"/>
  <c r="C175" i="6"/>
  <c r="B186" i="6"/>
  <c r="D219" i="6"/>
  <c r="D223" i="6"/>
  <c r="B227" i="6"/>
  <c r="D234" i="6"/>
  <c r="C238" i="6"/>
  <c r="B242" i="6"/>
  <c r="C253" i="6"/>
  <c r="B272" i="6"/>
  <c r="D272" i="6"/>
  <c r="D293" i="6"/>
  <c r="B308" i="6"/>
  <c r="D308" i="6"/>
  <c r="C308" i="6"/>
  <c r="C571" i="6"/>
  <c r="D571" i="6"/>
  <c r="B571" i="6"/>
  <c r="B581" i="6"/>
  <c r="D581" i="6"/>
  <c r="C581" i="6"/>
  <c r="C59" i="6"/>
  <c r="C102" i="6"/>
  <c r="C38" i="6"/>
  <c r="C78" i="6"/>
  <c r="D238" i="6"/>
  <c r="D242" i="6"/>
  <c r="D253" i="6"/>
  <c r="C304" i="6"/>
  <c r="B304" i="6"/>
  <c r="D363" i="6"/>
  <c r="C363" i="6"/>
  <c r="B363" i="6"/>
  <c r="C473" i="6"/>
  <c r="B473" i="6"/>
  <c r="D473" i="6"/>
  <c r="B635" i="6"/>
  <c r="D635" i="6"/>
  <c r="C635" i="6"/>
  <c r="D64" i="6"/>
  <c r="C71" i="6"/>
  <c r="C119" i="6"/>
  <c r="D280" i="6"/>
  <c r="B280" i="6"/>
  <c r="B17" i="6"/>
  <c r="B26" i="6"/>
  <c r="B45" i="6"/>
  <c r="D51" i="6"/>
  <c r="C127" i="6"/>
  <c r="B157" i="6"/>
  <c r="C157" i="6"/>
  <c r="B168" i="6"/>
  <c r="C220" i="6"/>
  <c r="B224" i="6"/>
  <c r="C235" i="6"/>
  <c r="C280" i="6"/>
  <c r="D304" i="6"/>
  <c r="C435" i="6"/>
  <c r="D435" i="6"/>
  <c r="B435" i="6"/>
  <c r="D501" i="6"/>
  <c r="C501" i="6"/>
  <c r="B501" i="6"/>
  <c r="B629" i="6"/>
  <c r="D629" i="6"/>
  <c r="C629" i="6"/>
  <c r="B121" i="6"/>
  <c r="C121" i="6"/>
  <c r="D130" i="6"/>
  <c r="D134" i="6"/>
  <c r="D145" i="6"/>
  <c r="C186" i="6"/>
  <c r="C227" i="6"/>
  <c r="B20" i="6"/>
  <c r="B23" i="6"/>
  <c r="B29" i="6"/>
  <c r="B32" i="6"/>
  <c r="C58" i="6"/>
  <c r="B68" i="6"/>
  <c r="B101" i="6"/>
  <c r="C112" i="6"/>
  <c r="B116" i="6"/>
  <c r="B142" i="6"/>
  <c r="D142" i="6"/>
  <c r="B209" i="6"/>
  <c r="B250" i="6"/>
  <c r="D250" i="6"/>
  <c r="B265" i="6"/>
  <c r="C265" i="6"/>
  <c r="C55" i="6"/>
  <c r="D58" i="6"/>
  <c r="B65" i="6"/>
  <c r="B75" i="6"/>
  <c r="C79" i="6"/>
  <c r="C90" i="6"/>
  <c r="C101" i="6"/>
  <c r="D112" i="6"/>
  <c r="D116" i="6"/>
  <c r="B120" i="6"/>
  <c r="D127" i="6"/>
  <c r="C131" i="6"/>
  <c r="B135" i="6"/>
  <c r="C142" i="6"/>
  <c r="D157" i="6"/>
  <c r="B161" i="6"/>
  <c r="C168" i="6"/>
  <c r="B176" i="6"/>
  <c r="B183" i="6"/>
  <c r="C187" i="6"/>
  <c r="C198" i="6"/>
  <c r="C209" i="6"/>
  <c r="D220" i="6"/>
  <c r="D224" i="6"/>
  <c r="B228" i="6"/>
  <c r="D235" i="6"/>
  <c r="C239" i="6"/>
  <c r="B243" i="6"/>
  <c r="C250" i="6"/>
  <c r="D265" i="6"/>
  <c r="B273" i="6"/>
  <c r="D523" i="6"/>
  <c r="C523" i="6"/>
  <c r="B523" i="6"/>
  <c r="B353" i="6"/>
  <c r="D353" i="6"/>
  <c r="C353" i="6"/>
  <c r="D376" i="6"/>
  <c r="C376" i="6"/>
  <c r="B376" i="6"/>
  <c r="B425" i="6"/>
  <c r="D425" i="6"/>
  <c r="C425" i="6"/>
  <c r="C469" i="6"/>
  <c r="D469" i="6"/>
  <c r="B469" i="6"/>
  <c r="D837" i="6"/>
  <c r="C837" i="6"/>
  <c r="B837" i="6"/>
  <c r="B124" i="6"/>
  <c r="D124" i="6"/>
  <c r="B139" i="6"/>
  <c r="C139" i="6"/>
  <c r="B232" i="6"/>
  <c r="D232" i="6"/>
  <c r="B247" i="6"/>
  <c r="C247" i="6"/>
  <c r="B36" i="6"/>
  <c r="C49" i="6"/>
  <c r="B59" i="6"/>
  <c r="B102" i="6"/>
  <c r="C113" i="6"/>
  <c r="B117" i="6"/>
  <c r="C124" i="6"/>
  <c r="D139" i="6"/>
  <c r="B143" i="6"/>
  <c r="B158" i="6"/>
  <c r="B165" i="6"/>
  <c r="C169" i="6"/>
  <c r="C180" i="6"/>
  <c r="B210" i="6"/>
  <c r="C221" i="6"/>
  <c r="B225" i="6"/>
  <c r="C232" i="6"/>
  <c r="D247" i="6"/>
  <c r="B251" i="6"/>
  <c r="B266" i="6"/>
  <c r="B286" i="6"/>
  <c r="C295" i="6"/>
  <c r="B295" i="6"/>
  <c r="D49" i="6"/>
  <c r="D113" i="6"/>
  <c r="B214" i="6"/>
  <c r="D214" i="6"/>
  <c r="B229" i="6"/>
  <c r="C229" i="6"/>
  <c r="C282" i="6"/>
  <c r="B282" i="6"/>
  <c r="C286" i="6"/>
  <c r="D327" i="6"/>
  <c r="C327" i="6"/>
  <c r="B327" i="6"/>
  <c r="D399" i="6"/>
  <c r="C399" i="6"/>
  <c r="B399" i="6"/>
  <c r="D492" i="6"/>
  <c r="C492" i="6"/>
  <c r="B492" i="6"/>
  <c r="D513" i="6"/>
  <c r="C513" i="6"/>
  <c r="B513" i="6"/>
  <c r="D559" i="6"/>
  <c r="C559" i="6"/>
  <c r="B559" i="6"/>
  <c r="D611" i="6"/>
  <c r="C611" i="6"/>
  <c r="B611" i="6"/>
  <c r="B678" i="6"/>
  <c r="D678" i="6"/>
  <c r="C678" i="6"/>
  <c r="D36" i="6"/>
  <c r="C43" i="6"/>
  <c r="B53" i="6"/>
  <c r="B66" i="6"/>
  <c r="B84" i="6"/>
  <c r="C95" i="6"/>
  <c r="B99" i="6"/>
  <c r="D117" i="6"/>
  <c r="D121" i="6"/>
  <c r="B125" i="6"/>
  <c r="B140" i="6"/>
  <c r="B147" i="6"/>
  <c r="C151" i="6"/>
  <c r="C162" i="6"/>
  <c r="B192" i="6"/>
  <c r="C203" i="6"/>
  <c r="B207" i="6"/>
  <c r="C214" i="6"/>
  <c r="D229" i="6"/>
  <c r="B233" i="6"/>
  <c r="B248" i="6"/>
  <c r="B255" i="6"/>
  <c r="C259" i="6"/>
  <c r="C274" i="6"/>
  <c r="D282" i="6"/>
  <c r="B287" i="6"/>
  <c r="C287" i="6"/>
  <c r="D291" i="6"/>
  <c r="D439" i="6"/>
  <c r="C439" i="6"/>
  <c r="B439" i="6"/>
  <c r="D465" i="6"/>
  <c r="C465" i="6"/>
  <c r="B465" i="6"/>
  <c r="C40" i="6"/>
  <c r="D43" i="6"/>
  <c r="B50" i="6"/>
  <c r="C53" i="6"/>
  <c r="B63" i="6"/>
  <c r="C66" i="6"/>
  <c r="C73" i="6"/>
  <c r="C84" i="6"/>
  <c r="B88" i="6"/>
  <c r="D88" i="6"/>
  <c r="D95" i="6"/>
  <c r="C99" i="6"/>
  <c r="B103" i="6"/>
  <c r="C103" i="6"/>
  <c r="B114" i="6"/>
  <c r="C125" i="6"/>
  <c r="C140" i="6"/>
  <c r="D147" i="6"/>
  <c r="D151" i="6"/>
  <c r="B155" i="6"/>
  <c r="D162" i="6"/>
  <c r="C166" i="6"/>
  <c r="B170" i="6"/>
  <c r="C181" i="6"/>
  <c r="C192" i="6"/>
  <c r="B196" i="6"/>
  <c r="D196" i="6"/>
  <c r="D203" i="6"/>
  <c r="C207" i="6"/>
  <c r="B211" i="6"/>
  <c r="C211" i="6"/>
  <c r="B222" i="6"/>
  <c r="C233" i="6"/>
  <c r="C248" i="6"/>
  <c r="D255" i="6"/>
  <c r="D259" i="6"/>
  <c r="B263" i="6"/>
  <c r="D274" i="6"/>
  <c r="C278" i="6"/>
  <c r="D287" i="6"/>
  <c r="B317" i="6"/>
  <c r="D317" i="6"/>
  <c r="C317" i="6"/>
  <c r="B106" i="6"/>
  <c r="D106" i="6"/>
  <c r="D40" i="6"/>
  <c r="C50" i="6"/>
  <c r="C63" i="6"/>
  <c r="B70" i="6"/>
  <c r="D70" i="6"/>
  <c r="D73" i="6"/>
  <c r="C114" i="6"/>
  <c r="C155" i="6"/>
  <c r="D166" i="6"/>
  <c r="D170" i="6"/>
  <c r="D181" i="6"/>
  <c r="C222" i="6"/>
  <c r="C263" i="6"/>
  <c r="D278" i="6"/>
  <c r="B283" i="6"/>
  <c r="D288" i="6"/>
  <c r="B288" i="6"/>
  <c r="D412" i="6"/>
  <c r="C412" i="6"/>
  <c r="B412" i="6"/>
  <c r="C739" i="6"/>
  <c r="B739" i="6"/>
  <c r="D739" i="6"/>
  <c r="C34" i="6"/>
  <c r="C70" i="6"/>
  <c r="B85" i="6"/>
  <c r="C85" i="6"/>
  <c r="B96" i="6"/>
  <c r="D129" i="6"/>
  <c r="B137" i="6"/>
  <c r="C148" i="6"/>
  <c r="B152" i="6"/>
  <c r="C163" i="6"/>
  <c r="B178" i="6"/>
  <c r="D178" i="6"/>
  <c r="B193" i="6"/>
  <c r="C193" i="6"/>
  <c r="B204" i="6"/>
  <c r="D237" i="6"/>
  <c r="B245" i="6"/>
  <c r="C256" i="6"/>
  <c r="B260" i="6"/>
  <c r="C275" i="6"/>
  <c r="D340" i="6"/>
  <c r="C340" i="6"/>
  <c r="B340" i="6"/>
  <c r="B389" i="6"/>
  <c r="D389" i="6"/>
  <c r="C389" i="6"/>
  <c r="B509" i="6"/>
  <c r="D509" i="6"/>
  <c r="D514" i="6"/>
  <c r="C514" i="6"/>
  <c r="B514" i="6"/>
  <c r="D537" i="6"/>
  <c r="C537" i="6"/>
  <c r="B541" i="6"/>
  <c r="D541" i="6"/>
  <c r="C541" i="6"/>
  <c r="C566" i="6"/>
  <c r="D572" i="6"/>
  <c r="C572" i="6"/>
  <c r="B572" i="6"/>
  <c r="C596" i="6"/>
  <c r="C682" i="6"/>
  <c r="D682" i="6"/>
  <c r="B711" i="6"/>
  <c r="D711" i="6"/>
  <c r="C711" i="6"/>
  <c r="B820" i="6"/>
  <c r="D820" i="6"/>
  <c r="C820" i="6"/>
  <c r="B826" i="6"/>
  <c r="D826" i="6"/>
  <c r="C826" i="6"/>
  <c r="B301" i="6"/>
  <c r="C314" i="6"/>
  <c r="B324" i="6"/>
  <c r="B337" i="6"/>
  <c r="C350" i="6"/>
  <c r="B360" i="6"/>
  <c r="B373" i="6"/>
  <c r="C386" i="6"/>
  <c r="B396" i="6"/>
  <c r="B409" i="6"/>
  <c r="C422" i="6"/>
  <c r="B432" i="6"/>
  <c r="B452" i="6"/>
  <c r="B479" i="6"/>
  <c r="B488" i="6"/>
  <c r="C509" i="6"/>
  <c r="B533" i="6"/>
  <c r="B537" i="6"/>
  <c r="B563" i="6"/>
  <c r="D573" i="6"/>
  <c r="B573" i="6"/>
  <c r="D597" i="6"/>
  <c r="C597" i="6"/>
  <c r="B597" i="6"/>
  <c r="D615" i="6"/>
  <c r="C615" i="6"/>
  <c r="B630" i="6"/>
  <c r="B646" i="6"/>
  <c r="B682" i="6"/>
  <c r="B706" i="6"/>
  <c r="D712" i="6"/>
  <c r="C712" i="6"/>
  <c r="B712" i="6"/>
  <c r="D734" i="6"/>
  <c r="B734" i="6"/>
  <c r="B768" i="6"/>
  <c r="D768" i="6"/>
  <c r="C768" i="6"/>
  <c r="D821" i="6"/>
  <c r="C821" i="6"/>
  <c r="D582" i="6"/>
  <c r="C582" i="6"/>
  <c r="B582" i="6"/>
  <c r="B783" i="6"/>
  <c r="D783" i="6"/>
  <c r="C871" i="6"/>
  <c r="B871" i="6"/>
  <c r="D871" i="6"/>
  <c r="C285" i="6"/>
  <c r="C298" i="6"/>
  <c r="D311" i="6"/>
  <c r="B318" i="6"/>
  <c r="C321" i="6"/>
  <c r="B331" i="6"/>
  <c r="C334" i="6"/>
  <c r="C344" i="6"/>
  <c r="D347" i="6"/>
  <c r="B354" i="6"/>
  <c r="C357" i="6"/>
  <c r="B367" i="6"/>
  <c r="C370" i="6"/>
  <c r="C380" i="6"/>
  <c r="D383" i="6"/>
  <c r="B390" i="6"/>
  <c r="C393" i="6"/>
  <c r="B403" i="6"/>
  <c r="C406" i="6"/>
  <c r="C416" i="6"/>
  <c r="D419" i="6"/>
  <c r="B426" i="6"/>
  <c r="C429" i="6"/>
  <c r="B436" i="6"/>
  <c r="C448" i="6"/>
  <c r="C466" i="6"/>
  <c r="D466" i="6"/>
  <c r="B502" i="6"/>
  <c r="C515" i="6"/>
  <c r="D583" i="6"/>
  <c r="C583" i="6"/>
  <c r="B583" i="6"/>
  <c r="D588" i="6"/>
  <c r="B588" i="6"/>
  <c r="B631" i="6"/>
  <c r="D631" i="6"/>
  <c r="C631" i="6"/>
  <c r="C699" i="6"/>
  <c r="C703" i="6"/>
  <c r="D703" i="6"/>
  <c r="B707" i="6"/>
  <c r="D707" i="6"/>
  <c r="C707" i="6"/>
  <c r="C718" i="6"/>
  <c r="B718" i="6"/>
  <c r="B723" i="6"/>
  <c r="D723" i="6"/>
  <c r="C723" i="6"/>
  <c r="B730" i="6"/>
  <c r="C730" i="6"/>
  <c r="B735" i="6"/>
  <c r="D735" i="6"/>
  <c r="B764" i="6"/>
  <c r="C775" i="6"/>
  <c r="C783" i="6"/>
  <c r="C305" i="6"/>
  <c r="C318" i="6"/>
  <c r="C331" i="6"/>
  <c r="C341" i="6"/>
  <c r="D344" i="6"/>
  <c r="C354" i="6"/>
  <c r="C367" i="6"/>
  <c r="C377" i="6"/>
  <c r="D380" i="6"/>
  <c r="C390" i="6"/>
  <c r="C403" i="6"/>
  <c r="D416" i="6"/>
  <c r="C426" i="6"/>
  <c r="C436" i="6"/>
  <c r="D489" i="6"/>
  <c r="C489" i="6"/>
  <c r="C502" i="6"/>
  <c r="C520" i="6"/>
  <c r="B520" i="6"/>
  <c r="D547" i="6"/>
  <c r="B547" i="6"/>
  <c r="B568" i="6"/>
  <c r="D568" i="6"/>
  <c r="C568" i="6"/>
  <c r="B626" i="6"/>
  <c r="C626" i="6"/>
  <c r="C689" i="6"/>
  <c r="B689" i="6"/>
  <c r="D699" i="6"/>
  <c r="C764" i="6"/>
  <c r="B771" i="6"/>
  <c r="C771" i="6"/>
  <c r="D775" i="6"/>
  <c r="D784" i="6"/>
  <c r="C784" i="6"/>
  <c r="D809" i="6"/>
  <c r="B809" i="6"/>
  <c r="D815" i="6"/>
  <c r="B815" i="6"/>
  <c r="D449" i="6"/>
  <c r="C449" i="6"/>
  <c r="B489" i="6"/>
  <c r="B516" i="6"/>
  <c r="D520" i="6"/>
  <c r="D543" i="6"/>
  <c r="B543" i="6"/>
  <c r="C556" i="6"/>
  <c r="B556" i="6"/>
  <c r="C593" i="6"/>
  <c r="D593" i="6"/>
  <c r="B593" i="6"/>
  <c r="D608" i="6"/>
  <c r="C608" i="6"/>
  <c r="D626" i="6"/>
  <c r="B665" i="6"/>
  <c r="C665" i="6"/>
  <c r="B669" i="6"/>
  <c r="D669" i="6"/>
  <c r="C669" i="6"/>
  <c r="D689" i="6"/>
  <c r="D719" i="6"/>
  <c r="C719" i="6"/>
  <c r="B747" i="6"/>
  <c r="C747" i="6"/>
  <c r="C760" i="6"/>
  <c r="B760" i="6"/>
  <c r="D771" i="6"/>
  <c r="B784" i="6"/>
  <c r="C809" i="6"/>
  <c r="C815" i="6"/>
  <c r="C846" i="6"/>
  <c r="B846" i="6"/>
  <c r="C299" i="6"/>
  <c r="B309" i="6"/>
  <c r="B322" i="6"/>
  <c r="C335" i="6"/>
  <c r="B345" i="6"/>
  <c r="B358" i="6"/>
  <c r="C371" i="6"/>
  <c r="B381" i="6"/>
  <c r="B394" i="6"/>
  <c r="C407" i="6"/>
  <c r="B417" i="6"/>
  <c r="B430" i="6"/>
  <c r="C437" i="6"/>
  <c r="B437" i="6"/>
  <c r="B445" i="6"/>
  <c r="B449" i="6"/>
  <c r="D476" i="6"/>
  <c r="C476" i="6"/>
  <c r="C490" i="6"/>
  <c r="D490" i="6"/>
  <c r="B490" i="6"/>
  <c r="D530" i="6"/>
  <c r="C530" i="6"/>
  <c r="D603" i="6"/>
  <c r="B603" i="6"/>
  <c r="B627" i="6"/>
  <c r="D627" i="6"/>
  <c r="C627" i="6"/>
  <c r="D639" i="6"/>
  <c r="C639" i="6"/>
  <c r="C674" i="6"/>
  <c r="D674" i="6"/>
  <c r="B674" i="6"/>
  <c r="B690" i="6"/>
  <c r="D690" i="6"/>
  <c r="C690" i="6"/>
  <c r="D695" i="6"/>
  <c r="C695" i="6"/>
  <c r="B719" i="6"/>
  <c r="B726" i="6"/>
  <c r="C726" i="6"/>
  <c r="C731" i="6"/>
  <c r="D747" i="6"/>
  <c r="D760" i="6"/>
  <c r="D816" i="6"/>
  <c r="B816" i="6"/>
  <c r="C816" i="6"/>
  <c r="D846" i="6"/>
  <c r="C309" i="6"/>
  <c r="C450" i="6"/>
  <c r="D450" i="6"/>
  <c r="B450" i="6"/>
  <c r="D552" i="6"/>
  <c r="C552" i="6"/>
  <c r="D579" i="6"/>
  <c r="C579" i="6"/>
  <c r="B579" i="6"/>
  <c r="B743" i="6"/>
  <c r="C743" i="6"/>
  <c r="B756" i="6"/>
  <c r="C756" i="6"/>
  <c r="D756" i="6"/>
  <c r="D761" i="6"/>
  <c r="C761" i="6"/>
  <c r="B761" i="6"/>
  <c r="D835" i="6"/>
  <c r="B835" i="6"/>
  <c r="C835" i="6"/>
  <c r="D847" i="6"/>
  <c r="B847" i="6"/>
  <c r="D858" i="6"/>
  <c r="B858" i="6"/>
  <c r="C858" i="6"/>
  <c r="D296" i="6"/>
  <c r="B303" i="6"/>
  <c r="B316" i="6"/>
  <c r="C329" i="6"/>
  <c r="D332" i="6"/>
  <c r="B339" i="6"/>
  <c r="B352" i="6"/>
  <c r="C365" i="6"/>
  <c r="D368" i="6"/>
  <c r="B375" i="6"/>
  <c r="C378" i="6"/>
  <c r="B388" i="6"/>
  <c r="C391" i="6"/>
  <c r="C401" i="6"/>
  <c r="D404" i="6"/>
  <c r="B411" i="6"/>
  <c r="C414" i="6"/>
  <c r="B424" i="6"/>
  <c r="C427" i="6"/>
  <c r="D477" i="6"/>
  <c r="C477" i="6"/>
  <c r="B477" i="6"/>
  <c r="D531" i="6"/>
  <c r="C531" i="6"/>
  <c r="B531" i="6"/>
  <c r="B544" i="6"/>
  <c r="D548" i="6"/>
  <c r="B552" i="6"/>
  <c r="B585" i="6"/>
  <c r="B604" i="6"/>
  <c r="D604" i="6"/>
  <c r="C661" i="6"/>
  <c r="D661" i="6"/>
  <c r="C670" i="6"/>
  <c r="D743" i="6"/>
  <c r="B748" i="6"/>
  <c r="C752" i="6"/>
  <c r="D791" i="6"/>
  <c r="C791" i="6"/>
  <c r="B791" i="6"/>
  <c r="C847" i="6"/>
  <c r="C303" i="6"/>
  <c r="C316" i="6"/>
  <c r="D329" i="6"/>
  <c r="C339" i="6"/>
  <c r="B349" i="6"/>
  <c r="C352" i="6"/>
  <c r="C362" i="6"/>
  <c r="D365" i="6"/>
  <c r="B372" i="6"/>
  <c r="C375" i="6"/>
  <c r="B385" i="6"/>
  <c r="C388" i="6"/>
  <c r="C398" i="6"/>
  <c r="D401" i="6"/>
  <c r="B408" i="6"/>
  <c r="C411" i="6"/>
  <c r="B421" i="6"/>
  <c r="C424" i="6"/>
  <c r="B438" i="6"/>
  <c r="C446" i="6"/>
  <c r="B446" i="6"/>
  <c r="C463" i="6"/>
  <c r="D463" i="6"/>
  <c r="B463" i="6"/>
  <c r="B472" i="6"/>
  <c r="C486" i="6"/>
  <c r="B486" i="6"/>
  <c r="C499" i="6"/>
  <c r="D499" i="6"/>
  <c r="B499" i="6"/>
  <c r="B512" i="6"/>
  <c r="D544" i="6"/>
  <c r="D570" i="6"/>
  <c r="C570" i="6"/>
  <c r="C585" i="6"/>
  <c r="C604" i="6"/>
  <c r="B661" i="6"/>
  <c r="D677" i="6"/>
  <c r="B677" i="6"/>
  <c r="C748" i="6"/>
  <c r="D752" i="6"/>
  <c r="D792" i="6"/>
  <c r="B792" i="6"/>
  <c r="C842" i="6"/>
  <c r="D290" i="6"/>
  <c r="C323" i="6"/>
  <c r="D326" i="6"/>
  <c r="C359" i="6"/>
  <c r="D362" i="6"/>
  <c r="C395" i="6"/>
  <c r="D398" i="6"/>
  <c r="C431" i="6"/>
  <c r="D438" i="6"/>
  <c r="D446" i="6"/>
  <c r="D464" i="6"/>
  <c r="C464" i="6"/>
  <c r="B464" i="6"/>
  <c r="D500" i="6"/>
  <c r="C500" i="6"/>
  <c r="B500" i="6"/>
  <c r="C527" i="6"/>
  <c r="B527" i="6"/>
  <c r="D558" i="6"/>
  <c r="B558" i="6"/>
  <c r="C558" i="6"/>
  <c r="C586" i="6"/>
  <c r="B586" i="6"/>
  <c r="D619" i="6"/>
  <c r="C619" i="6"/>
  <c r="B654" i="6"/>
  <c r="D654" i="6"/>
  <c r="D662" i="6"/>
  <c r="C662" i="6"/>
  <c r="C710" i="6"/>
  <c r="B710" i="6"/>
  <c r="B738" i="6"/>
  <c r="C738" i="6"/>
  <c r="D738" i="6"/>
  <c r="B787" i="6"/>
  <c r="C787" i="6"/>
  <c r="D797" i="6"/>
  <c r="C797" i="6"/>
  <c r="D842" i="6"/>
  <c r="D522" i="6"/>
  <c r="B522" i="6"/>
  <c r="D872" i="6"/>
  <c r="B872" i="6"/>
  <c r="C865" i="6"/>
  <c r="B865" i="6"/>
  <c r="D865" i="6"/>
  <c r="C872" i="6"/>
  <c r="D890" i="6"/>
  <c r="C890" i="6"/>
  <c r="B890" i="6"/>
  <c r="D567" i="6"/>
  <c r="B567" i="6"/>
  <c r="D749" i="6"/>
  <c r="C749" i="6"/>
  <c r="B811" i="6"/>
  <c r="D811" i="6"/>
  <c r="D848" i="6"/>
  <c r="B848" i="6"/>
  <c r="B443" i="6"/>
  <c r="B460" i="6"/>
  <c r="B470" i="6"/>
  <c r="B483" i="6"/>
  <c r="B496" i="6"/>
  <c r="B503" i="6"/>
  <c r="B517" i="6"/>
  <c r="B534" i="6"/>
  <c r="C683" i="6"/>
  <c r="B683" i="6"/>
  <c r="D728" i="6"/>
  <c r="C728" i="6"/>
  <c r="D806" i="6"/>
  <c r="C806" i="6"/>
  <c r="D838" i="6"/>
  <c r="B838" i="6"/>
  <c r="B843" i="6"/>
  <c r="C848" i="6"/>
  <c r="D594" i="6"/>
  <c r="B594" i="6"/>
  <c r="B675" i="6"/>
  <c r="D675" i="6"/>
  <c r="B696" i="6"/>
  <c r="C696" i="6"/>
  <c r="B716" i="6"/>
  <c r="B720" i="6"/>
  <c r="C720" i="6"/>
  <c r="B724" i="6"/>
  <c r="B728" i="6"/>
  <c r="B741" i="6"/>
  <c r="D741" i="6"/>
  <c r="D745" i="6"/>
  <c r="C765" i="6"/>
  <c r="C769" i="6"/>
  <c r="D769" i="6"/>
  <c r="D773" i="6"/>
  <c r="B777" i="6"/>
  <c r="D777" i="6"/>
  <c r="C777" i="6"/>
  <c r="C785" i="6"/>
  <c r="B806" i="6"/>
  <c r="D818" i="6"/>
  <c r="B818" i="6"/>
  <c r="C833" i="6"/>
  <c r="C838" i="6"/>
  <c r="C843" i="6"/>
  <c r="C849" i="6"/>
  <c r="B849" i="6"/>
  <c r="D849" i="6"/>
  <c r="C440" i="6"/>
  <c r="D453" i="6"/>
  <c r="C467" i="6"/>
  <c r="C480" i="6"/>
  <c r="D493" i="6"/>
  <c r="C510" i="6"/>
  <c r="C524" i="6"/>
  <c r="C553" i="6"/>
  <c r="D561" i="6"/>
  <c r="C561" i="6"/>
  <c r="D590" i="6"/>
  <c r="C594" i="6"/>
  <c r="C598" i="6"/>
  <c r="C605" i="6"/>
  <c r="B609" i="6"/>
  <c r="D616" i="6"/>
  <c r="D620" i="6"/>
  <c r="B624" i="6"/>
  <c r="C632" i="6"/>
  <c r="B636" i="6"/>
  <c r="C640" i="6"/>
  <c r="B648" i="6"/>
  <c r="C648" i="6"/>
  <c r="D648" i="6"/>
  <c r="C652" i="6"/>
  <c r="D671" i="6"/>
  <c r="C675" i="6"/>
  <c r="B684" i="6"/>
  <c r="C684" i="6"/>
  <c r="B688" i="6"/>
  <c r="B692" i="6"/>
  <c r="D696" i="6"/>
  <c r="C716" i="6"/>
  <c r="D720" i="6"/>
  <c r="D724" i="6"/>
  <c r="B737" i="6"/>
  <c r="C741" i="6"/>
  <c r="B762" i="6"/>
  <c r="D762" i="6"/>
  <c r="D765" i="6"/>
  <c r="B769" i="6"/>
  <c r="C794" i="6"/>
  <c r="C818" i="6"/>
  <c r="D833" i="6"/>
  <c r="B839" i="6"/>
  <c r="C839" i="6"/>
  <c r="B447" i="6"/>
  <c r="B461" i="6"/>
  <c r="B474" i="6"/>
  <c r="B487" i="6"/>
  <c r="B507" i="6"/>
  <c r="B528" i="6"/>
  <c r="C609" i="6"/>
  <c r="C624" i="6"/>
  <c r="D632" i="6"/>
  <c r="C636" i="6"/>
  <c r="D640" i="6"/>
  <c r="D652" i="6"/>
  <c r="D676" i="6"/>
  <c r="C676" i="6"/>
  <c r="C688" i="6"/>
  <c r="C697" i="6"/>
  <c r="D697" i="6"/>
  <c r="B697" i="6"/>
  <c r="C725" i="6"/>
  <c r="B725" i="6"/>
  <c r="D742" i="6"/>
  <c r="C742" i="6"/>
  <c r="D770" i="6"/>
  <c r="C770" i="6"/>
  <c r="C799" i="6"/>
  <c r="B799" i="6"/>
  <c r="D813" i="6"/>
  <c r="B813" i="6"/>
  <c r="D834" i="6"/>
  <c r="B834" i="6"/>
  <c r="D487" i="6"/>
  <c r="D525" i="6"/>
  <c r="C525" i="6"/>
  <c r="D606" i="6"/>
  <c r="C606" i="6"/>
  <c r="C617" i="6"/>
  <c r="B621" i="6"/>
  <c r="D637" i="6"/>
  <c r="C637" i="6"/>
  <c r="C664" i="6"/>
  <c r="B676" i="6"/>
  <c r="B693" i="6"/>
  <c r="D693" i="6"/>
  <c r="C713" i="6"/>
  <c r="D725" i="6"/>
  <c r="D729" i="6"/>
  <c r="D733" i="6"/>
  <c r="B742" i="6"/>
  <c r="B770" i="6"/>
  <c r="D786" i="6"/>
  <c r="C790" i="6"/>
  <c r="D799" i="6"/>
  <c r="C813" i="6"/>
  <c r="C824" i="6"/>
  <c r="C834" i="6"/>
  <c r="D863" i="6"/>
  <c r="B863" i="6"/>
  <c r="D869" i="6"/>
  <c r="B869" i="6"/>
  <c r="D870" i="6"/>
  <c r="B870" i="6"/>
  <c r="C870" i="6"/>
  <c r="D879" i="6"/>
  <c r="C879" i="6"/>
  <c r="B879" i="6"/>
  <c r="D899" i="6"/>
  <c r="B899" i="6"/>
  <c r="C899" i="6"/>
  <c r="C859" i="6"/>
  <c r="B859" i="6"/>
  <c r="D859" i="6"/>
  <c r="B651" i="6"/>
  <c r="D651" i="6"/>
  <c r="B759" i="6"/>
  <c r="D759" i="6"/>
  <c r="D798" i="6"/>
  <c r="B798" i="6"/>
  <c r="D825" i="6"/>
  <c r="B825" i="6"/>
  <c r="D844" i="6"/>
  <c r="B844" i="6"/>
  <c r="D854" i="6"/>
  <c r="B854" i="6"/>
  <c r="C854" i="6"/>
  <c r="D861" i="6"/>
  <c r="B861" i="6"/>
  <c r="D795" i="6"/>
  <c r="B795" i="6"/>
  <c r="C861" i="6"/>
  <c r="B687" i="6"/>
  <c r="D687" i="6"/>
  <c r="D807" i="6"/>
  <c r="B807" i="6"/>
  <c r="D812" i="6"/>
  <c r="C812" i="6"/>
  <c r="B817" i="6"/>
  <c r="C817" i="6"/>
  <c r="D827" i="6"/>
  <c r="B827" i="6"/>
  <c r="D876" i="6"/>
  <c r="B876" i="6"/>
  <c r="C876" i="6"/>
  <c r="D888" i="6"/>
  <c r="B888" i="6"/>
  <c r="C888" i="6"/>
  <c r="C889" i="6"/>
  <c r="B889" i="6"/>
  <c r="D889" i="6"/>
  <c r="D882" i="6"/>
  <c r="B882" i="6"/>
  <c r="D789" i="6"/>
  <c r="B789" i="6"/>
  <c r="D822" i="6"/>
  <c r="B822" i="6"/>
  <c r="D840" i="6"/>
  <c r="B840" i="6"/>
  <c r="C882" i="6"/>
  <c r="C883" i="6"/>
  <c r="B883" i="6"/>
  <c r="D883" i="6"/>
  <c r="C868" i="6"/>
  <c r="B868" i="6"/>
  <c r="D894" i="6"/>
  <c r="B894" i="6"/>
  <c r="C894" i="6"/>
  <c r="C904" i="6"/>
  <c r="B904" i="6"/>
  <c r="D904" i="6"/>
  <c r="C877" i="6"/>
  <c r="B877" i="6"/>
  <c r="D877" i="6"/>
  <c r="C874" i="6"/>
  <c r="B874" i="6"/>
  <c r="D874" i="6"/>
  <c r="D900" i="6"/>
  <c r="D911" i="6"/>
  <c r="C932" i="6"/>
  <c r="B932" i="6"/>
  <c r="D932" i="6"/>
  <c r="D960" i="6"/>
  <c r="B960" i="6"/>
  <c r="D966" i="6"/>
  <c r="B966" i="6"/>
  <c r="D1003" i="6"/>
  <c r="B1003" i="6"/>
  <c r="D1009" i="6"/>
  <c r="B1009" i="6"/>
  <c r="C1040" i="6"/>
  <c r="B1040" i="6"/>
  <c r="D1040" i="6"/>
  <c r="C1046" i="6"/>
  <c r="B1046" i="6"/>
  <c r="D1046" i="6"/>
  <c r="C1052" i="6"/>
  <c r="B1052" i="6"/>
  <c r="D1052" i="6"/>
  <c r="D1065" i="6"/>
  <c r="B1065" i="6"/>
  <c r="D1071" i="6"/>
  <c r="B1071" i="6"/>
  <c r="B1077" i="6"/>
  <c r="C1095" i="6"/>
  <c r="D1102" i="6"/>
  <c r="C1102" i="6"/>
  <c r="C885" i="6"/>
  <c r="C901" i="6"/>
  <c r="B901" i="6"/>
  <c r="D901" i="6"/>
  <c r="C907" i="6"/>
  <c r="B907" i="6"/>
  <c r="D912" i="6"/>
  <c r="B912" i="6"/>
  <c r="D927" i="6"/>
  <c r="B927" i="6"/>
  <c r="C937" i="6"/>
  <c r="C943" i="6"/>
  <c r="C948" i="6"/>
  <c r="C954" i="6"/>
  <c r="C960" i="6"/>
  <c r="C966" i="6"/>
  <c r="D972" i="6"/>
  <c r="D985" i="6"/>
  <c r="B985" i="6"/>
  <c r="D991" i="6"/>
  <c r="B991" i="6"/>
  <c r="C997" i="6"/>
  <c r="C1003" i="6"/>
  <c r="C1009" i="6"/>
  <c r="D1015" i="6"/>
  <c r="C1022" i="6"/>
  <c r="B1022" i="6"/>
  <c r="D1022" i="6"/>
  <c r="C1028" i="6"/>
  <c r="B1028" i="6"/>
  <c r="D1028" i="6"/>
  <c r="C1034" i="6"/>
  <c r="B1034" i="6"/>
  <c r="D1034" i="6"/>
  <c r="D1047" i="6"/>
  <c r="B1047" i="6"/>
  <c r="D1053" i="6"/>
  <c r="B1053" i="6"/>
  <c r="B1059" i="6"/>
  <c r="C1065" i="6"/>
  <c r="D1090" i="6"/>
  <c r="B1090" i="6"/>
  <c r="D1096" i="6"/>
  <c r="B1096" i="6"/>
  <c r="B1102" i="6"/>
  <c r="C880" i="6"/>
  <c r="B880" i="6"/>
  <c r="D880" i="6"/>
  <c r="D891" i="6"/>
  <c r="B891" i="6"/>
  <c r="D902" i="6"/>
  <c r="B902" i="6"/>
  <c r="D907" i="6"/>
  <c r="C938" i="6"/>
  <c r="B938" i="6"/>
  <c r="D938" i="6"/>
  <c r="D949" i="6"/>
  <c r="B949" i="6"/>
  <c r="D967" i="6"/>
  <c r="B967" i="6"/>
  <c r="D973" i="6"/>
  <c r="B973" i="6"/>
  <c r="C1004" i="6"/>
  <c r="B1004" i="6"/>
  <c r="D1004" i="6"/>
  <c r="C1010" i="6"/>
  <c r="B1010" i="6"/>
  <c r="D1010" i="6"/>
  <c r="C1016" i="6"/>
  <c r="B1016" i="6"/>
  <c r="D1016" i="6"/>
  <c r="D1029" i="6"/>
  <c r="B1029" i="6"/>
  <c r="D1035" i="6"/>
  <c r="B1035" i="6"/>
  <c r="D1072" i="6"/>
  <c r="B1072" i="6"/>
  <c r="D1078" i="6"/>
  <c r="B1078" i="6"/>
  <c r="B1084" i="6"/>
  <c r="C1090" i="6"/>
  <c r="C1103" i="6"/>
  <c r="B1103" i="6"/>
  <c r="D1103" i="6"/>
  <c r="D881" i="6"/>
  <c r="B881" i="6"/>
  <c r="C886" i="6"/>
  <c r="B886" i="6"/>
  <c r="C891" i="6"/>
  <c r="C902" i="6"/>
  <c r="C913" i="6"/>
  <c r="B913" i="6"/>
  <c r="D913" i="6"/>
  <c r="C918" i="6"/>
  <c r="D928" i="6"/>
  <c r="B928" i="6"/>
  <c r="D939" i="6"/>
  <c r="B939" i="6"/>
  <c r="C944" i="6"/>
  <c r="B944" i="6"/>
  <c r="C949" i="6"/>
  <c r="D955" i="6"/>
  <c r="B955" i="6"/>
  <c r="C961" i="6"/>
  <c r="C967" i="6"/>
  <c r="C973" i="6"/>
  <c r="D979" i="6"/>
  <c r="C986" i="6"/>
  <c r="B986" i="6"/>
  <c r="D986" i="6"/>
  <c r="C992" i="6"/>
  <c r="B992" i="6"/>
  <c r="D992" i="6"/>
  <c r="C998" i="6"/>
  <c r="B998" i="6"/>
  <c r="D998" i="6"/>
  <c r="D1011" i="6"/>
  <c r="B1011" i="6"/>
  <c r="D1017" i="6"/>
  <c r="B1017" i="6"/>
  <c r="B1023" i="6"/>
  <c r="C1029" i="6"/>
  <c r="C1035" i="6"/>
  <c r="C1041" i="6"/>
  <c r="D1054" i="6"/>
  <c r="B1054" i="6"/>
  <c r="D1060" i="6"/>
  <c r="B1060" i="6"/>
  <c r="B1066" i="6"/>
  <c r="C1072" i="6"/>
  <c r="C1078" i="6"/>
  <c r="C1084" i="6"/>
  <c r="C1091" i="6"/>
  <c r="B1091" i="6"/>
  <c r="C1097" i="6"/>
  <c r="B1097" i="6"/>
  <c r="D1097" i="6"/>
  <c r="C881" i="6"/>
  <c r="D886" i="6"/>
  <c r="C892" i="6"/>
  <c r="B892" i="6"/>
  <c r="D892" i="6"/>
  <c r="B897" i="6"/>
  <c r="B908" i="6"/>
  <c r="C928" i="6"/>
  <c r="C939" i="6"/>
  <c r="C950" i="6"/>
  <c r="B950" i="6"/>
  <c r="D950" i="6"/>
  <c r="D961" i="6"/>
  <c r="C968" i="6"/>
  <c r="B968" i="6"/>
  <c r="D968" i="6"/>
  <c r="C974" i="6"/>
  <c r="B974" i="6"/>
  <c r="D974" i="6"/>
  <c r="C980" i="6"/>
  <c r="B980" i="6"/>
  <c r="D980" i="6"/>
  <c r="D993" i="6"/>
  <c r="B993" i="6"/>
  <c r="D999" i="6"/>
  <c r="B999" i="6"/>
  <c r="B1005" i="6"/>
  <c r="C1011" i="6"/>
  <c r="C1023" i="6"/>
  <c r="D1036" i="6"/>
  <c r="B1036" i="6"/>
  <c r="D1042" i="6"/>
  <c r="B1042" i="6"/>
  <c r="B1048" i="6"/>
  <c r="C1054" i="6"/>
  <c r="C1066" i="6"/>
  <c r="C1073" i="6"/>
  <c r="B1073" i="6"/>
  <c r="C1079" i="6"/>
  <c r="B1079" i="6"/>
  <c r="D1079" i="6"/>
  <c r="C1085" i="6"/>
  <c r="B1085" i="6"/>
  <c r="D1085" i="6"/>
  <c r="D1091" i="6"/>
  <c r="D887" i="6"/>
  <c r="B887" i="6"/>
  <c r="C897" i="6"/>
  <c r="C919" i="6"/>
  <c r="B919" i="6"/>
  <c r="D919" i="6"/>
  <c r="C929" i="6"/>
  <c r="B929" i="6"/>
  <c r="D934" i="6"/>
  <c r="B934" i="6"/>
  <c r="D945" i="6"/>
  <c r="B945" i="6"/>
  <c r="C956" i="6"/>
  <c r="B956" i="6"/>
  <c r="D956" i="6"/>
  <c r="C962" i="6"/>
  <c r="B962" i="6"/>
  <c r="D962" i="6"/>
  <c r="D975" i="6"/>
  <c r="B975" i="6"/>
  <c r="D981" i="6"/>
  <c r="B981" i="6"/>
  <c r="B987" i="6"/>
  <c r="D1018" i="6"/>
  <c r="B1018" i="6"/>
  <c r="D1024" i="6"/>
  <c r="B1024" i="6"/>
  <c r="B1030" i="6"/>
  <c r="C1036" i="6"/>
  <c r="C1055" i="6"/>
  <c r="B1055" i="6"/>
  <c r="C1061" i="6"/>
  <c r="B1061" i="6"/>
  <c r="D1061" i="6"/>
  <c r="C1067" i="6"/>
  <c r="B1067" i="6"/>
  <c r="D1067" i="6"/>
  <c r="D1073" i="6"/>
  <c r="D1086" i="6"/>
  <c r="B1086" i="6"/>
  <c r="D1092" i="6"/>
  <c r="B1092" i="6"/>
  <c r="C1098" i="6"/>
  <c r="D810" i="6"/>
  <c r="B810" i="6"/>
  <c r="D819" i="6"/>
  <c r="B819" i="6"/>
  <c r="D832" i="6"/>
  <c r="B832" i="6"/>
  <c r="D841" i="6"/>
  <c r="B841" i="6"/>
  <c r="D855" i="6"/>
  <c r="B855" i="6"/>
  <c r="D860" i="6"/>
  <c r="D866" i="6"/>
  <c r="B866" i="6"/>
  <c r="C887" i="6"/>
  <c r="B893" i="6"/>
  <c r="C898" i="6"/>
  <c r="B898" i="6"/>
  <c r="D898" i="6"/>
  <c r="D903" i="6"/>
  <c r="D909" i="6"/>
  <c r="B909" i="6"/>
  <c r="D914" i="6"/>
  <c r="D920" i="6"/>
  <c r="B920" i="6"/>
  <c r="D929" i="6"/>
  <c r="C934" i="6"/>
  <c r="B940" i="6"/>
  <c r="C945" i="6"/>
  <c r="B951" i="6"/>
  <c r="D957" i="6"/>
  <c r="B957" i="6"/>
  <c r="D963" i="6"/>
  <c r="B963" i="6"/>
  <c r="B969" i="6"/>
  <c r="C975" i="6"/>
  <c r="C981" i="6"/>
  <c r="C987" i="6"/>
  <c r="D1000" i="6"/>
  <c r="B1000" i="6"/>
  <c r="D1006" i="6"/>
  <c r="B1006" i="6"/>
  <c r="B1012" i="6"/>
  <c r="C1018" i="6"/>
  <c r="C1024" i="6"/>
  <c r="C1030" i="6"/>
  <c r="C1037" i="6"/>
  <c r="B1037" i="6"/>
  <c r="C1043" i="6"/>
  <c r="B1043" i="6"/>
  <c r="D1043" i="6"/>
  <c r="C1049" i="6"/>
  <c r="B1049" i="6"/>
  <c r="D1049" i="6"/>
  <c r="D1055" i="6"/>
  <c r="D1068" i="6"/>
  <c r="B1068" i="6"/>
  <c r="D1074" i="6"/>
  <c r="B1074" i="6"/>
  <c r="C1080" i="6"/>
  <c r="C1086" i="6"/>
  <c r="C1092" i="6"/>
  <c r="D1098" i="6"/>
  <c r="C935" i="6"/>
  <c r="B935" i="6"/>
  <c r="D935" i="6"/>
  <c r="C940" i="6"/>
  <c r="D946" i="6"/>
  <c r="B946" i="6"/>
  <c r="C951" i="6"/>
  <c r="D982" i="6"/>
  <c r="B982" i="6"/>
  <c r="D988" i="6"/>
  <c r="B988" i="6"/>
  <c r="C1019" i="6"/>
  <c r="B1019" i="6"/>
  <c r="C1025" i="6"/>
  <c r="B1025" i="6"/>
  <c r="D1025" i="6"/>
  <c r="C1031" i="6"/>
  <c r="B1031" i="6"/>
  <c r="D1031" i="6"/>
  <c r="D1050" i="6"/>
  <c r="B1050" i="6"/>
  <c r="D1056" i="6"/>
  <c r="B1056" i="6"/>
  <c r="D1080" i="6"/>
  <c r="D1093" i="6"/>
  <c r="B1093" i="6"/>
  <c r="C856" i="6"/>
  <c r="B856" i="6"/>
  <c r="D856" i="6"/>
  <c r="C910" i="6"/>
  <c r="B910" i="6"/>
  <c r="D910" i="6"/>
  <c r="B915" i="6"/>
  <c r="B930" i="6"/>
  <c r="C946" i="6"/>
  <c r="D964" i="6"/>
  <c r="B964" i="6"/>
  <c r="D970" i="6"/>
  <c r="B970" i="6"/>
  <c r="B976" i="6"/>
  <c r="C982" i="6"/>
  <c r="C988" i="6"/>
  <c r="C1001" i="6"/>
  <c r="B1001" i="6"/>
  <c r="C1007" i="6"/>
  <c r="B1007" i="6"/>
  <c r="D1007" i="6"/>
  <c r="C1013" i="6"/>
  <c r="B1013" i="6"/>
  <c r="D1013" i="6"/>
  <c r="D1019" i="6"/>
  <c r="D1032" i="6"/>
  <c r="B1032" i="6"/>
  <c r="D1038" i="6"/>
  <c r="B1038" i="6"/>
  <c r="C1044" i="6"/>
  <c r="C1050" i="6"/>
  <c r="C1056" i="6"/>
  <c r="D1062" i="6"/>
  <c r="D1075" i="6"/>
  <c r="B1075" i="6"/>
  <c r="D1081" i="6"/>
  <c r="B1081" i="6"/>
  <c r="C1087" i="6"/>
  <c r="C1093" i="6"/>
  <c r="D905" i="6"/>
  <c r="B905" i="6"/>
  <c r="C915" i="6"/>
  <c r="C941" i="6"/>
  <c r="B941" i="6"/>
  <c r="D941" i="6"/>
  <c r="C947" i="6"/>
  <c r="B947" i="6"/>
  <c r="D952" i="6"/>
  <c r="B952" i="6"/>
  <c r="C983" i="6"/>
  <c r="B983" i="6"/>
  <c r="C989" i="6"/>
  <c r="B989" i="6"/>
  <c r="D989" i="6"/>
  <c r="C995" i="6"/>
  <c r="B995" i="6"/>
  <c r="D995" i="6"/>
  <c r="D1014" i="6"/>
  <c r="B1014" i="6"/>
  <c r="D1020" i="6"/>
  <c r="B1020" i="6"/>
  <c r="D1057" i="6"/>
  <c r="B1057" i="6"/>
  <c r="D1063" i="6"/>
  <c r="B1063" i="6"/>
  <c r="D1087" i="6"/>
  <c r="C1094" i="6"/>
  <c r="B1094" i="6"/>
  <c r="D1094" i="6"/>
  <c r="C1100" i="6"/>
  <c r="B1100" i="6"/>
  <c r="D1100" i="6"/>
  <c r="C862" i="6"/>
  <c r="B862" i="6"/>
  <c r="D862" i="6"/>
  <c r="D867" i="6"/>
  <c r="D873" i="6"/>
  <c r="B873" i="6"/>
  <c r="D878" i="6"/>
  <c r="D884" i="6"/>
  <c r="B884" i="6"/>
  <c r="B900" i="6"/>
  <c r="C905" i="6"/>
  <c r="C916" i="6"/>
  <c r="B916" i="6"/>
  <c r="D916" i="6"/>
  <c r="D921" i="6"/>
  <c r="D931" i="6"/>
  <c r="B931" i="6"/>
  <c r="D942" i="6"/>
  <c r="B942" i="6"/>
  <c r="D947" i="6"/>
  <c r="C952" i="6"/>
  <c r="C965" i="6"/>
  <c r="B965" i="6"/>
  <c r="C971" i="6"/>
  <c r="B971" i="6"/>
  <c r="D971" i="6"/>
  <c r="C977" i="6"/>
  <c r="B977" i="6"/>
  <c r="D977" i="6"/>
  <c r="D983" i="6"/>
  <c r="D996" i="6"/>
  <c r="B996" i="6"/>
  <c r="D1002" i="6"/>
  <c r="B1002" i="6"/>
  <c r="C1008" i="6"/>
  <c r="C1014" i="6"/>
  <c r="C1020" i="6"/>
  <c r="D1039" i="6"/>
  <c r="B1039" i="6"/>
  <c r="D1045" i="6"/>
  <c r="B1045" i="6"/>
  <c r="C1051" i="6"/>
  <c r="C1057" i="6"/>
  <c r="C1063" i="6"/>
  <c r="C1076" i="6"/>
  <c r="B1076" i="6"/>
  <c r="D1076" i="6"/>
  <c r="C1082" i="6"/>
  <c r="B1082" i="6"/>
  <c r="D1082" i="6"/>
  <c r="C1088" i="6"/>
  <c r="B1088" i="6"/>
  <c r="D1088" i="6"/>
  <c r="D1101" i="6"/>
  <c r="B1101" i="6"/>
  <c r="C895" i="6"/>
  <c r="B895" i="6"/>
  <c r="D895" i="6"/>
  <c r="D906" i="6"/>
  <c r="B906" i="6"/>
  <c r="D917" i="6"/>
  <c r="B917" i="6"/>
  <c r="C926" i="6"/>
  <c r="B926" i="6"/>
  <c r="C953" i="6"/>
  <c r="B953" i="6"/>
  <c r="D953" i="6"/>
  <c r="C959" i="6"/>
  <c r="B959" i="6"/>
  <c r="D959" i="6"/>
  <c r="D978" i="6"/>
  <c r="B978" i="6"/>
  <c r="D984" i="6"/>
  <c r="B984" i="6"/>
  <c r="D1008" i="6"/>
  <c r="D1021" i="6"/>
  <c r="B1021" i="6"/>
  <c r="D1027" i="6"/>
  <c r="B1027" i="6"/>
  <c r="C1033" i="6"/>
  <c r="D1051" i="6"/>
  <c r="C1058" i="6"/>
  <c r="B1058" i="6"/>
  <c r="D1058" i="6"/>
  <c r="C1064" i="6"/>
  <c r="B1064" i="6"/>
  <c r="D1064" i="6"/>
  <c r="C1070" i="6"/>
  <c r="B1070" i="6"/>
  <c r="D1070" i="6"/>
  <c r="D1083" i="6"/>
  <c r="B1083" i="6"/>
  <c r="D1089" i="6"/>
  <c r="B1089" i="6"/>
  <c r="B1095" i="6"/>
  <c r="C1101" i="6"/>
  <c r="B1099" i="6"/>
  <c r="B1107" i="6"/>
  <c r="C1107" i="6"/>
  <c r="B1104" i="6"/>
  <c r="B1108" i="6"/>
  <c r="C1108" i="6"/>
  <c r="B1106" i="6"/>
</calcChain>
</file>

<file path=xl/sharedStrings.xml><?xml version="1.0" encoding="utf-8"?>
<sst xmlns="http://schemas.openxmlformats.org/spreadsheetml/2006/main" count="9343" uniqueCount="2006">
  <si>
    <t>母版治理边界</t>
  </si>
  <si>
    <t>角色</t>
  </si>
  <si>
    <t>维护内容</t>
  </si>
  <si>
    <t>不得维护/不得假装</t>
  </si>
  <si>
    <t>用户/业务负责人</t>
  </si>
  <si>
    <t>Omnia 标准字段、必填规则、默认/回退、允许值、Higher/Lower 业务适用性</t>
  </si>
  <si>
    <t>不在母版中维护每次运行的用户实际值</t>
  </si>
  <si>
    <t>Codex/开发者</t>
  </si>
  <si>
    <t>v4 JSON/API/connector/DOM 证据、精确路径、证据状态、校验逻辑</t>
  </si>
  <si>
    <t>v4 无证据时不得猜 API、JSON key 或 selector</t>
  </si>
  <si>
    <t>运行时 Agent</t>
  </si>
  <si>
    <t>从用户上传资料提取需用户提供的值；按本母版规则派生/默认/继承并执行</t>
  </si>
  <si>
    <t>不得要求用户在母版中重复维护每次运行的实际值</t>
  </si>
  <si>
    <t>Risk–Control 执行模型</t>
  </si>
  <si>
    <t>1. 目录存在</t>
  </si>
  <si>
    <t>catalog_present_higher/lower 只描述 Omnia 在对应 RAIT 目录中可提供该 Control。</t>
  </si>
  <si>
    <t>2. 应建立关联</t>
  </si>
  <si>
    <t>link_required_higher/lower 才是 Agent 的执行开关；系统可提供 Control 不等于应关联。</t>
  </si>
  <si>
    <t>3. Risk 分类</t>
  </si>
  <si>
    <t>classification_higher/lower 分别治理 Higher 与 Lower 下的 Higher/Lower/ClassificationNA/待确认。</t>
  </si>
  <si>
    <t>4. 运行时</t>
  </si>
  <si>
    <t>用户新增元素时无需手工逐一关联。录制抓全量目录和代表性关联合同，Agent 按 RAIT 筛选并逐条精确关联、回读验证。</t>
  </si>
  <si>
    <t>5. 失败关闭</t>
  </si>
  <si>
    <t>目录缺失、关系端点缺失、assertion 不唯一、隐藏数据策略不满足或无 v4 证据时停止；不得猜测。</t>
  </si>
  <si>
    <t>当前母版规模（公式实时统计）</t>
  </si>
  <si>
    <t>规范化字段</t>
  </si>
  <si>
    <t>Risk-Control 关系</t>
  </si>
  <si>
    <t>正式源字段项</t>
  </si>
  <si>
    <t>V4 证据链</t>
  </si>
  <si>
    <t>证据状态说明</t>
  </si>
  <si>
    <t>已确认-强</t>
  </si>
  <si>
    <t>源码中有精确 route/payload/key/read-back 或明确录制合同。</t>
  </si>
  <si>
    <t>部分确认</t>
  </si>
  <si>
    <t>只确认解析/派生/参考目录的一部分；不得扩张为完整写入能力。</t>
  </si>
  <si>
    <t>执行阻断</t>
  </si>
  <si>
    <t>v4 明确拒绝执行（例如 SAP ECC 内容合同未验证）。</t>
  </si>
  <si>
    <t>v4未发现/待确认</t>
  </si>
  <si>
    <t>v4 未发现足够证据；API/JSON/DOM 列保持空白。</t>
  </si>
  <si>
    <t>Phase 1 字段母版</t>
  </si>
  <si>
    <t>黄色列由业务维护；蓝色证据列由 Codex/开发者维护。运行时用户实际值不进入本母版。</t>
  </si>
  <si>
    <t>field_id</t>
  </si>
  <si>
    <t>Phase</t>
  </si>
  <si>
    <t>场景/对象类型</t>
  </si>
  <si>
    <t>对象子类型/区段</t>
  </si>
  <si>
    <t>Higher适用</t>
  </si>
  <si>
    <t>Lower适用</t>
  </si>
  <si>
    <t>Omnia UI标准字段名</t>
  </si>
  <si>
    <t>字段用途</t>
  </si>
  <si>
    <t>填写责任/方式</t>
  </si>
  <si>
    <t>必填规则</t>
  </si>
  <si>
    <t>无资料时默认/回退</t>
  </si>
  <si>
    <t>允许值</t>
  </si>
  <si>
    <t>evidence_type</t>
  </si>
  <si>
    <t>v4 JSON key/path</t>
  </si>
  <si>
    <t>v4 endpoint+method / connector</t>
  </si>
  <si>
    <t>请求/响应位置</t>
  </si>
  <si>
    <t>v4 DOM/selector</t>
  </si>
  <si>
    <t>v4证据路径+行号</t>
  </si>
  <si>
    <t>证据状态/置信度</t>
  </si>
  <si>
    <t>校验规则</t>
  </si>
  <si>
    <t>source_trace_id</t>
  </si>
  <si>
    <t>备注</t>
  </si>
  <si>
    <t>P1.APP.IT.ELEMENT_ID</t>
  </si>
  <si>
    <t>Phase 1</t>
  </si>
  <si>
    <t>Application</t>
  </si>
  <si>
    <t>Y</t>
  </si>
  <si>
    <t>ID</t>
  </si>
  <si>
    <t>应用程序唯一键，系统必填</t>
  </si>
  <si>
    <t>上传资料提取</t>
  </si>
  <si>
    <t>必填</t>
  </si>
  <si>
    <t>APP-金蝶系统</t>
  </si>
  <si>
    <t>hybrid</t>
  </si>
  <si>
    <t>systemInfoRows[].itElementKey|itElementName|itElementNumber; request.number|name</t>
  </si>
  <si>
    <t>POST /rapr/v0/engagements/{engagementId}/itelement</t>
  </si>
  <si>
    <t>request: name, number；response: id</t>
  </si>
  <si>
    <t>src/omnia-phase1.js:656-735; toolkit/tools/gra-creator/src/app.js:4808-4825</t>
  </si>
  <si>
    <t>1、是否填写
2、是否与其他活跃元素重名
3、是否与其他回收站内元素重名；AI：1、与之后的risk判断因素中描述的内容是否一致</t>
  </si>
  <si>
    <t>SRC.IT元素.007</t>
  </si>
  <si>
    <t>运行时从上传资料提取；创建前执行精确身份预检与重名校验。</t>
  </si>
  <si>
    <t>P1.APP.IT.ELEMENT_NAME</t>
  </si>
  <si>
    <t>名称</t>
  </si>
  <si>
    <t>可与ID一致，系统必填</t>
  </si>
  <si>
    <t>派生</t>
  </si>
  <si>
    <t>与ID一致</t>
  </si>
  <si>
    <t>derived</t>
  </si>
  <si>
    <t>itElementName = element ID</t>
  </si>
  <si>
    <t>同 IT Element 创建接口</t>
  </si>
  <si>
    <t>request.name</t>
  </si>
  <si>
    <t>src/domains/omnia/phase1/template-contract.js:98-105; toolkit/tools/gra-creator/src/app.js:4810-4822</t>
  </si>
  <si>
    <t>SRC.IT元素.008</t>
  </si>
  <si>
    <t>官方 V2 固定派生为元素 ID。</t>
  </si>
  <si>
    <t>P1.APP.IT.WORKSPACE</t>
  </si>
  <si>
    <t>链接至工作区</t>
  </si>
  <si>
    <t>系统必填</t>
  </si>
  <si>
    <t>TEST</t>
  </si>
  <si>
    <t>workspaceName -&gt; workspaceFacetId -&gt; request.workspaceId</t>
  </si>
  <si>
    <t>request.workspaceId；response.id</t>
  </si>
  <si>
    <t>src/omnia-phase1.js:673-735; toolkit/tools/gra-creator/src/app.js:4799-4825</t>
  </si>
  <si>
    <t>1、工作区填写是否正确；AI：1、若存在与APP名称相似的工作区，可校验ID与工作区是否存在疑似冲突</t>
  </si>
  <si>
    <t>SRC.IT元素.009</t>
  </si>
  <si>
    <t>上传资料提供显示名；Agent 解析为精确 facet ID。</t>
  </si>
  <si>
    <t>P1.APP.IT.DESCRIPTION</t>
  </si>
  <si>
    <t>描述</t>
  </si>
  <si>
    <t>选填</t>
  </si>
  <si>
    <t>选填/不适用</t>
  </si>
  <si>
    <t>itElementDescription -&gt; request.description</t>
  </si>
  <si>
    <t>request.description (rich-text editor payload)</t>
  </si>
  <si>
    <t>src/domains/omnia/phase1/template-contract.js:98-105; toolkit/tools/gra-creator/src/app.js:4818-4822</t>
  </si>
  <si>
    <t>SRC.IT元素.010</t>
  </si>
  <si>
    <t>P1.APP.IT.IS_RELEVANT</t>
  </si>
  <si>
    <t>与应用程序的相关性</t>
  </si>
  <si>
    <t>Agent/系统规则驱动</t>
  </si>
  <si>
    <t>不相关</t>
  </si>
  <si>
    <t>api</t>
  </si>
  <si>
    <t>/isRelevant = false</t>
  </si>
  <si>
    <t>PATCH /rapr/v0/engagements/{engagementId}/itelement/{id}</t>
  </si>
  <si>
    <t>JSON Patch replace /isRelevant</t>
  </si>
  <si>
    <t>toolkit/tools/gra-creator/src/it-element-settings.js:1-14; toolkit/tools/gra-creator/src/app.js:4867-4875</t>
  </si>
  <si>
    <t>SRC.IT元素.011</t>
  </si>
  <si>
    <t>v4 固定为 false；Tool 分支不执行此 PATCH。</t>
  </si>
  <si>
    <t>P1.APP.IT.IS_DATA_AVAILABLE</t>
  </si>
  <si>
    <t>IT元素和相关信息技术整体控制(GITC) 将在此约定项目档案的结构化数据中进行测试</t>
  </si>
  <si>
    <t>创建的时候自动开启</t>
  </si>
  <si>
    <t>默认</t>
  </si>
  <si>
    <t>开启</t>
  </si>
  <si>
    <t>开启|不开启</t>
  </si>
  <si>
    <t>/isDataAvailable</t>
  </si>
  <si>
    <t>JSON Patch replace /isDataAvailable；并带 concurrencyTabId/UpdatedOn</t>
  </si>
  <si>
    <t>toolkit/tools/gra-creator/src/app.js:4877-4883</t>
  </si>
  <si>
    <t>SRC.IT元素.012</t>
  </si>
  <si>
    <t>v4 输入模板默认 FALSE；原表业务文字“开启”与实际 v4 字段语义需人工确认，不做等同。</t>
  </si>
  <si>
    <t>P1.APP.IT.GRA_ENTRY</t>
  </si>
  <si>
    <t>添加风险评估GRA</t>
  </si>
  <si>
    <t>参见&lt;GRA&gt;-应用程序</t>
  </si>
  <si>
    <t>待确认</t>
  </si>
  <si>
    <t>graName/graContentId/typeId/facetId/entityId</t>
  </si>
  <si>
    <t>POST /rapr/v0/engagements/{engagementId}/riskassessments/create</t>
  </si>
  <si>
    <t>request creates GRA；response.id/workItemId/referenceNumber</t>
  </si>
  <si>
    <t>toolkit/tools/gra-creator/src/app.js:4909-4945</t>
  </si>
  <si>
    <t>SRC.IT元素.013</t>
  </si>
  <si>
    <t>该行是流程入口，不是用户值字段。</t>
  </si>
  <si>
    <t>P1.APP.IT.MAJOR_CHANGE_THIS_YEAR</t>
  </si>
  <si>
    <t>详细信息-本年度重大修改</t>
  </si>
  <si>
    <t>考虑IT元素在本年度是否已发生重大变化 (例如，系统升级，新系统实施) 或修改。考虑变更的性质和变更的范围。</t>
  </si>
  <si>
    <t>不开启</t>
  </si>
  <si>
    <t>source-only</t>
  </si>
  <si>
    <t>SRC.IT元素.014</t>
  </si>
  <si>
    <t>v4 未发现可验证的字段级 API/DOM 映射；保留原始规则，不猜测。</t>
  </si>
  <si>
    <t>P1.APP.IT.SERVICE_ORGANIZATION_SUPPORT</t>
  </si>
  <si>
    <t>详细信息-受到服务机构支持（包括提供的服务，如适用）</t>
  </si>
  <si>
    <t>考虑IT元素是否由向该主体提供服务的服务机构 (即，第三方组织或第三方组织的部门) 支持。</t>
  </si>
  <si>
    <t>SRC.IT元素.015</t>
  </si>
  <si>
    <t>P1.APP.IT.DELOITTE_AUDIT_TOOL</t>
  </si>
  <si>
    <t>详细信息-拟在测试中使用的德勤审计工具</t>
  </si>
  <si>
    <t>考虑在计划的IT元素测试中是否使用任何德勤工具 (如，ACTT)。请注意，在Omnia的当前版本中，位于此处的文件记录可协助您记录及保留有助于计划审计程序的信息，但此信息不会系统地与其他结构化数据链接或相关联。</t>
  </si>
  <si>
    <t>SRC.IT元素.016</t>
  </si>
  <si>
    <t>P1.APP.IT.BUSINESS_PROCESS</t>
  </si>
  <si>
    <t>业务流程</t>
  </si>
  <si>
    <t>在业务流程图中关联此应用，此处不适用</t>
  </si>
  <si>
    <t>SRC.IT元素.017</t>
  </si>
  <si>
    <t>P1.DB.IT.ELEMENT_ID</t>
  </si>
  <si>
    <t>Database Infrastructure</t>
  </si>
  <si>
    <t>数据库基础设施唯一键，系统必填</t>
  </si>
  <si>
    <t>DB-金蝶系统</t>
  </si>
  <si>
    <t>SRC.IT元素.021</t>
  </si>
  <si>
    <t>P1.DB.IT.ELEMENT_NAME</t>
  </si>
  <si>
    <t>SRC.IT元素.022</t>
  </si>
  <si>
    <t>P1.DB.IT.WORKSPACE</t>
  </si>
  <si>
    <t>1、工作区填写是否正确；AI：1、若存在与名称相似的工作区，可校验ID与工作区是否存在疑似冲突</t>
  </si>
  <si>
    <t>SRC.IT元素.023</t>
  </si>
  <si>
    <t>P1.DB.IT.DESCRIPTION</t>
  </si>
  <si>
    <t>SRC.IT元素.024</t>
  </si>
  <si>
    <t>P1.DB.IT.IS_RELEVANT</t>
  </si>
  <si>
    <t>SRC.IT元素.025</t>
  </si>
  <si>
    <t>P1.DB.IT.IS_DATA_AVAILABLE</t>
  </si>
  <si>
    <t>SRC.IT元素.026</t>
  </si>
  <si>
    <t>P1.DB.IT.GRA_ENTRY</t>
  </si>
  <si>
    <t>参见&lt;GRA&gt;-数据库</t>
  </si>
  <si>
    <t>SRC.IT元素.027</t>
  </si>
  <si>
    <t>P1.DB.IT.MAJOR_CHANGE_THIS_YEAR</t>
  </si>
  <si>
    <t>SRC.IT元素.028</t>
  </si>
  <si>
    <t>P1.DB.IT.SERVICE_ORGANIZATION_SUPPORT</t>
  </si>
  <si>
    <t>SRC.IT元素.029</t>
  </si>
  <si>
    <t>P1.DB.IT.DELOITTE_AUDIT_TOOL</t>
  </si>
  <si>
    <t>SRC.IT元素.030</t>
  </si>
  <si>
    <t>P1.DB.IT.APPLICATION_RELATION</t>
  </si>
  <si>
    <t>关联应用程序</t>
  </si>
  <si>
    <t>后续创建风险评估受此影响，系统必填</t>
  </si>
  <si>
    <t>relationships[].applicationId/infrastructureId</t>
  </si>
  <si>
    <t>POST /rapr/v0/engagements/{engagementId}/itelement/associate</t>
  </si>
  <si>
    <t>ItElementId, AssociatingEntityIds[], associationType=InfrastructureApplication, ConcurrencyTabId=602</t>
  </si>
  <si>
    <t>toolkit/tools/gra-creator/src/phase1-relationships.js:97-198</t>
  </si>
  <si>
    <t>1、是否至少关联一个应用程序
2、工作区是否一致
3、多个应用程序的RAIT是否一致</t>
  </si>
  <si>
    <t>SRC.IT元素.031</t>
  </si>
  <si>
    <t>创建基础设施 GRA 前必须建立并双向回读验证。</t>
  </si>
  <si>
    <t>P1.OS.IT.ELEMENT_ID</t>
  </si>
  <si>
    <t>Operating System Infrastructure</t>
  </si>
  <si>
    <t>操作系统基础设施唯一键，系统必填</t>
  </si>
  <si>
    <t>OS-金蝶服务器</t>
  </si>
  <si>
    <t>SRC.IT元素.035</t>
  </si>
  <si>
    <t>P1.OS.IT.ELEMENT_NAME</t>
  </si>
  <si>
    <t>SRC.IT元素.036</t>
  </si>
  <si>
    <t>P1.OS.IT.WORKSPACE</t>
  </si>
  <si>
    <t>SRC.IT元素.037</t>
  </si>
  <si>
    <t>P1.OS.IT.DESCRIPTION</t>
  </si>
  <si>
    <t>选填；官方V2由Agent固定派生为元素ID</t>
  </si>
  <si>
    <t>SRC.IT元素.038</t>
  </si>
  <si>
    <t>P1.OS.IT.IS_RELEVANT</t>
  </si>
  <si>
    <t>SRC.IT元素.039</t>
  </si>
  <si>
    <t>P1.OS.IT.IS_DATA_AVAILABLE</t>
  </si>
  <si>
    <t>SRC.IT元素.040</t>
  </si>
  <si>
    <t>P1.OS.IT.GRA_ENTRY</t>
  </si>
  <si>
    <t>参见&lt;GRA&gt;-操作系统</t>
  </si>
  <si>
    <t>SRC.IT元素.041</t>
  </si>
  <si>
    <t>P1.OS.IT.MAJOR_CHANGE_THIS_YEAR</t>
  </si>
  <si>
    <t>SRC.IT元素.042</t>
  </si>
  <si>
    <t>P1.OS.IT.SERVICE_ORGANIZATION_SUPPORT</t>
  </si>
  <si>
    <t>SRC.IT元素.043</t>
  </si>
  <si>
    <t>P1.OS.IT.DELOITTE_AUDIT_TOOL</t>
  </si>
  <si>
    <t>SRC.IT元素.044</t>
  </si>
  <si>
    <t>P1.OS.IT.APPLICATION_RELATION</t>
  </si>
  <si>
    <t>后续创建风险评估及RAIT继承受此影响，系统必填</t>
  </si>
  <si>
    <t>SRC.IT元素.045</t>
  </si>
  <si>
    <t>P1.TOOL.IT.ELEMENT_ID</t>
  </si>
  <si>
    <t>IT Tool</t>
  </si>
  <si>
    <t>工具唯一键，系统必填</t>
  </si>
  <si>
    <t>Tool-OA</t>
  </si>
  <si>
    <t>SRC.IT元素.050</t>
  </si>
  <si>
    <t>P1.TOOL.IT.ELEMENT_NAME</t>
  </si>
  <si>
    <t>SRC.IT元素.051</t>
  </si>
  <si>
    <t>P1.TOOL.IT.WORKSPACE</t>
  </si>
  <si>
    <t>SRC.IT元素.052</t>
  </si>
  <si>
    <t>P1.TOOL.IT.DESCRIPTION</t>
  </si>
  <si>
    <t>SRC.IT元素.053</t>
  </si>
  <si>
    <t>Tool 创建分支未发送 description；不得声称已写入。</t>
  </si>
  <si>
    <t>P1.TOOL.IT.IS_RELEVANT</t>
  </si>
  <si>
    <t>不适用</t>
  </si>
  <si>
    <t>SRC.IT元素.054</t>
  </si>
  <si>
    <t>P1.TOOL.IT.IS_DATA_AVAILABLE</t>
  </si>
  <si>
    <t>SRC.IT元素.055</t>
  </si>
  <si>
    <t>P1.TOOL.IT.GRA_ENTRY</t>
  </si>
  <si>
    <t>参见&lt;GRA&gt;-工具</t>
  </si>
  <si>
    <t>SRC.IT元素.056</t>
  </si>
  <si>
    <t>P1.TOOL.IT.MAJOR_CHANGE_THIS_YEAR</t>
  </si>
  <si>
    <t>SRC.IT元素.057</t>
  </si>
  <si>
    <t>P1.TOOL.IT.SERVICE_ORGANIZATION_SUPPORT</t>
  </si>
  <si>
    <t>SRC.IT元素.058</t>
  </si>
  <si>
    <t>P1.TOOL.IT.DELOITTE_AUDIT_TOOL</t>
  </si>
  <si>
    <t>SRC.IT元素.059</t>
  </si>
  <si>
    <t>P1.TOOL.IT.APPLICATION_RELATION</t>
  </si>
  <si>
    <t>应用程序或基础设施应至少关联一项</t>
  </si>
  <si>
    <t>条件必填（至少一项）</t>
  </si>
  <si>
    <t>relationships[].toolId + targetId/targetType</t>
  </si>
  <si>
    <t>associationType=ItToolApplication/ItToolInfrastructure；ConcurrencyTabId=802/803</t>
  </si>
  <si>
    <t>toolkit/tools/gra-creator/src/phase1-relationships.js:201-288</t>
  </si>
  <si>
    <t>SRC.IT元素.060</t>
  </si>
  <si>
    <t>关系按目标类型分别执行并回读验证。</t>
  </si>
  <si>
    <t>P1.TOOL.IT.INFRASTRUCTURE_RELATION</t>
  </si>
  <si>
    <t>关联基础设施</t>
  </si>
  <si>
    <t>SRC.IT元素.061</t>
  </si>
  <si>
    <t>P1.APP.GRA.GRA_CONTENT</t>
  </si>
  <si>
    <t>GRA</t>
  </si>
  <si>
    <t>风险评估指导(GRA)内容</t>
  </si>
  <si>
    <t>由官方V2的APP类型确定GRA内容；不得跨类型套用</t>
  </si>
  <si>
    <t>1、是否填写
2、是否为当前官方输入合同允许值
3、SAP ECC是否在推送前被明确阻断；AI：1、若ID或说明包含SAP，提示专用创建链当前未验证，不能误按Generic创建</t>
  </si>
  <si>
    <t>SRC.GRA.004</t>
  </si>
  <si>
    <t>P1.APP.GRA.GRA_NAME</t>
  </si>
  <si>
    <t>风险评估指导(GRA)名称</t>
  </si>
  <si>
    <t>系统必填；官方V2模板不提供单独输入列，由Agent固定派生</t>
  </si>
  <si>
    <t>GRA-{元素ID}</t>
  </si>
  <si>
    <t>graName = GRA-{elementId}; /name</t>
  </si>
  <si>
    <t>POST .../riskassessments/create；PATCH .../riskassessments/{id}</t>
  </si>
  <si>
    <t>create request.name；必要时 JSON Patch /name</t>
  </si>
  <si>
    <t>src/domains/omnia/phase1/template-contract.js:98-105; toolkit/tools/gra-creator/src/app.js:4911-4918,4960-4965</t>
  </si>
  <si>
    <t>1、派生名称与元素ID是否一一对应
2、批次内及Omnia活动区/回收站是否冲突</t>
  </si>
  <si>
    <t>SRC.GRA.005</t>
  </si>
  <si>
    <t>不在用户上传模板中重复维护。</t>
  </si>
  <si>
    <t>P1.APP.GRA.ENABLE_IT_RISK_ASSESSMENT</t>
  </si>
  <si>
    <t>IT风险评估（如果测试运行有效性）</t>
  </si>
  <si>
    <t>创建时开启IT风险评估，并写入应用程序风险因素计划</t>
  </si>
  <si>
    <t>SRC.GRA.009</t>
  </si>
  <si>
    <t>P1.APP.GRA.RAIT_CONCLUSION</t>
  </si>
  <si>
    <t>IT风险(RAIT)结论</t>
  </si>
  <si>
    <t>APP由用户直接填写Higher或Lower；不从其他元素继承</t>
  </si>
  <si>
    <t>1、Higher
2、Lower</t>
  </si>
  <si>
    <t>Higher|Lower</t>
  </si>
  <si>
    <t>1、是否填写Higher或Lower
2、不得填写其他RAIT枚举</t>
  </si>
  <si>
    <t>SRC.GRA.010</t>
  </si>
  <si>
    <t>P1.APP.GRA.FACTORS_CONSIDERED</t>
  </si>
  <si>
    <t>Factors Considered（RAIT结论依据）</t>
  </si>
  <si>
    <t>官方V2 APP必填字段；说明系统特征及选择Higher/Lower的依据，并作为AI语义复核输入</t>
  </si>
  <si>
    <t>该系统涉及复杂财务交易、接口及自动控制，因此选择Higher。</t>
  </si>
  <si>
    <t>systemInfoRows[].factorsConsidered</t>
  </si>
  <si>
    <t>v4 未发现 Omnia 写入端点</t>
  </si>
  <si>
    <t>仅上传解析/AI 语义复核输入</t>
  </si>
  <si>
    <t>src/omnia-phase1.js:664-744</t>
  </si>
  <si>
    <t>1、是否填写
2、长度及字段合法性；AI：1、与系统ID是否一致
2、与Higher/Lower结论是否逻辑一致
3、仅提示warning，不替用户改写</t>
  </si>
  <si>
    <t>SRC.GRA.011</t>
  </si>
  <si>
    <t>P1.APP.GRA.SUBMIT_EVALUATION</t>
  </si>
  <si>
    <t>提交按钮</t>
  </si>
  <si>
    <t>完成风险因素、RAIT及必需信息后提交评价</t>
  </si>
  <si>
    <t>提交并等待 EvaluationComplete</t>
  </si>
  <si>
    <t>status=EvaluationComplete</t>
  </si>
  <si>
    <t>POST /rapr/v0/engagements/{engagementId}/riskassessments/{id}/submit-riskfactor-evaluation?skipValidation=false</t>
  </si>
  <si>
    <t>riskLevelOverride=true; poll GET until EvaluationComplete</t>
  </si>
  <si>
    <t>toolkit/tools/gra-creator/src/app.js:5025-5049</t>
  </si>
  <si>
    <t>1、提交后回读状态
2、回读RAIT与计划一致</t>
  </si>
  <si>
    <t>SRC.GRA.012</t>
  </si>
  <si>
    <t>写后回读确认。</t>
  </si>
  <si>
    <t>P1.APP.GRA.RISK_CONTROL_PLAN</t>
  </si>
  <si>
    <t>识别风险和评估风险|计划应对措施</t>
  </si>
  <si>
    <t>参见&lt;风险评估&gt;-通用应用程序；SAP ECC仅保留参考模板，当前不执行推送</t>
  </si>
  <si>
    <t>riskActions[]/controlLinks[]</t>
  </si>
  <si>
    <t>Risk PATCH + Control association POST</t>
  </si>
  <si>
    <t>按 RAIT 过滤已验证计划并逐条关联</t>
  </si>
  <si>
    <t>src/omnia-phase1.js:1723-1812; toolkit/tools/gra-creator/src/app.js:5134-5181</t>
  </si>
  <si>
    <t>SRC.GRA.013</t>
  </si>
  <si>
    <t>P1.DB.GRA.GRA_CONTENT</t>
  </si>
  <si>
    <t>由官方V2中的DB类型确定GRA内容，不允许跨类型套用</t>
  </si>
  <si>
    <t>1、Generic → 通用数据库
2、Oracle → Oracle 数据库
3、SQL → SQL Server 数据库</t>
  </si>
  <si>
    <t>Generic|Oracle|SQL</t>
  </si>
  <si>
    <t>graContentId/graContentName -&gt; inkContentId</t>
  </si>
  <si>
    <t>request.inkContentId</t>
  </si>
  <si>
    <t>toolkit/tools/gra-creator/src/app.js:4911-4918</t>
  </si>
  <si>
    <t>1、DB类型是否为Generic、Oracle或SQL
2、GRA内容映射是否精确</t>
  </si>
  <si>
    <t>SRC.GRA.018</t>
  </si>
  <si>
    <t>按已验证子类型映射内容。</t>
  </si>
  <si>
    <t>P1.DB.GRA.GRA_NAME</t>
  </si>
  <si>
    <t>系统必填；官方 V2 模板不提供单独输入列，由 Agent 固定派生</t>
  </si>
  <si>
    <t>GRA-{数据库ID}</t>
  </si>
  <si>
    <t>1、校验派生名称是否与元素ID一一对应
2、校验批次内及Omnia活动区/回收站是否存在冲突</t>
  </si>
  <si>
    <t>SRC.GRA.019</t>
  </si>
  <si>
    <t>P1.DB.GRA.ENABLE_IT_RISK_ASSESSMENT</t>
  </si>
  <si>
    <t>SRC.GRA.023</t>
  </si>
  <si>
    <t>P1.DB.GRA.RAIT_CONCLUSION</t>
  </si>
  <si>
    <t>DB不允许用户手工决定最终RAIT；必须从关联APP继承</t>
  </si>
  <si>
    <t>继承</t>
  </si>
  <si>
    <t>/itElementRaitConclusionLevelId</t>
  </si>
  <si>
    <t>PATCH /rapr/v0/engagements/{engagementId}/riskassessments/{id}; GET same</t>
  </si>
  <si>
    <t>JSON Patch then exact read-back</t>
  </si>
  <si>
    <t>toolkit/tools/gra-creator/src/app.js:5005-5023</t>
  </si>
  <si>
    <t>1、至少关联一个APP
2、所有关联APP的RAIT均可确定且一致
3、批次外APP需实时精确验证</t>
  </si>
  <si>
    <t>SRC.GRA.024</t>
  </si>
  <si>
    <t>从关联 APP 继承并验证一致性。</t>
  </si>
  <si>
    <t>P1.DB.GRA.RAIT_INHERITANCE_BASIS</t>
  </si>
  <si>
    <t>RAIT继承依据</t>
  </si>
  <si>
    <t>记录RAIT所继承的关联APP；不允许用数据库名称或描述猜测</t>
  </si>
  <si>
    <t>继承自 APP-金蝶系统（Higher）</t>
  </si>
  <si>
    <t>raitInheritedFrom[]</t>
  </si>
  <si>
    <t>基础设施 RAIT 继承 + GET read-back</t>
  </si>
  <si>
    <t>关联 APP 的已验证 RAIT</t>
  </si>
  <si>
    <t>src/omnia-phase1.js:1026-1045; toolkit/tools/gra-creator/src/app.js:4759-4789,5005-5023</t>
  </si>
  <si>
    <t>1、关联对象及工作区一致
2、继承结果与APP真实GRA回读一致</t>
  </si>
  <si>
    <t>SRC.GRA.025</t>
  </si>
  <si>
    <t>不允许从名称或描述猜测。</t>
  </si>
  <si>
    <t>P1.DB.GRA.SUBMIT_EVALUATION</t>
  </si>
  <si>
    <t>SRC.GRA.026</t>
  </si>
  <si>
    <t>P1.DB.GRA.RISK_CONTROL_PLAN</t>
  </si>
  <si>
    <t>参见&lt;风险评估&gt;-DB Generic / Oracle / SQL</t>
  </si>
  <si>
    <t>1、严格按已验证的 Risk/Control 计划生成，不得跨类型套用</t>
  </si>
  <si>
    <t>SRC.GRA.027</t>
  </si>
  <si>
    <t>P1.OS.GRA.GRA_CONTENT</t>
  </si>
  <si>
    <t>由官方V2中的OS类型确定GRA内容及专用Risk/Control计划</t>
  </si>
  <si>
    <t>1、Generic → 通用Windows OS内容 + Generic OS计划
2、UNIX → 通用Linux / Unix OS
3、WIN → 通用Windows OS</t>
  </si>
  <si>
    <t>Generic|UNIX|WIN</t>
  </si>
  <si>
    <t>1、OS类型是否为Generic、UNIX或WIN
2、内容及计划来源是否匹配</t>
  </si>
  <si>
    <t>SRC.GRA.033</t>
  </si>
  <si>
    <t>P1.OS.GRA.GRA_NAME</t>
  </si>
  <si>
    <t>GRA-{服务器ID}</t>
  </si>
  <si>
    <t>SRC.GRA.034</t>
  </si>
  <si>
    <t>P1.OS.GRA.ENABLE_IT_RISK_ASSESSMENT</t>
  </si>
  <si>
    <t>SRC.GRA.038</t>
  </si>
  <si>
    <t>P1.OS.GRA.RAIT_CONCLUSION</t>
  </si>
  <si>
    <t>OS不允许用户手工决定最终RAIT；必须从关联APP继承</t>
  </si>
  <si>
    <t>SRC.GRA.039</t>
  </si>
  <si>
    <t>P1.OS.GRA.RAIT_INHERITANCE_BASIS</t>
  </si>
  <si>
    <t>记录RAIT所继承的关联APP；不允许用服务器名称或描述猜测</t>
  </si>
  <si>
    <t>继承自 APP-金蝶系统（Lower）</t>
  </si>
  <si>
    <t>SRC.GRA.040</t>
  </si>
  <si>
    <t>P1.OS.GRA.SUBMIT_EVALUATION</t>
  </si>
  <si>
    <t>SRC.GRA.041</t>
  </si>
  <si>
    <t>P1.OS.GRA.RISK_CONTROL_PLAN</t>
  </si>
  <si>
    <t>参见&lt;风险评估&gt;-OS Generic / UNIX / WIN</t>
  </si>
  <si>
    <t>SRC.GRA.042</t>
  </si>
  <si>
    <t>P1.TOOL.GRA.GRA_CONTENT</t>
  </si>
  <si>
    <t>Tool类型同时决定GRA内容及已录制的Risk/Control合同</t>
  </si>
  <si>
    <t>1、工单工具
2、身份和访问管理工具</t>
  </si>
  <si>
    <t>工单工具|身份和访问管理工具</t>
  </si>
  <si>
    <t>1、是否为两种已验证Tool类型之一
2、不得使用通用工具冒充</t>
  </si>
  <si>
    <t>SRC.GRA.048</t>
  </si>
  <si>
    <t>P1.TOOL.GRA.GRA_NAME</t>
  </si>
  <si>
    <t>GRA-{IT TOOL ID}</t>
  </si>
  <si>
    <t>SRC.GRA.049</t>
  </si>
  <si>
    <t>P1.TOOL.GRA.ENABLE_IT_RISK_ASSESSMENT</t>
  </si>
  <si>
    <t>SRC.GRA.053</t>
  </si>
  <si>
    <t>P1.TOOL.GRA.RAIT_CONCLUSION</t>
  </si>
  <si>
    <t>Tool由用户直接填写Higher或Lower，不从APP继承</t>
  </si>
  <si>
    <t>SRC.GRA.054</t>
  </si>
  <si>
    <t>从上传资料提取 Higher/Lower。</t>
  </si>
  <si>
    <t>P1.TOOL.GRA.RAIT_FILE_RECORD</t>
  </si>
  <si>
    <t>SRC.GRA.055</t>
  </si>
  <si>
    <t>P1.TOOL.GRA.SUBMIT_EVALUATION</t>
  </si>
  <si>
    <t>SRC.GRA.056</t>
  </si>
  <si>
    <t>P1.TOOL.GRA.RISK_CONTROL_PLAN</t>
  </si>
  <si>
    <t>参见&lt;风险评估&gt;-工单工具 / 身份和访问管理工具</t>
  </si>
  <si>
    <t>SRC.GRA.057</t>
  </si>
  <si>
    <t>P1.RISK.APP.GENERIC.RAITCOR001</t>
  </si>
  <si>
    <t>Risk</t>
  </si>
  <si>
    <t>Application / 通用应用程序</t>
  </si>
  <si>
    <t>RAITCOR001｜通用应用程序 - 用户拥有的访问权限超出了执行分配的职责所必需的权限，这可能导致职责分离不当。</t>
  </si>
  <si>
    <t>Omnia 已识别风险及分类规则</t>
  </si>
  <si>
    <t>Agent执行</t>
  </si>
  <si>
    <t>规则驱动</t>
  </si>
  <si>
    <t>目录缺失则停止并报错</t>
  </si>
  <si>
    <t>Higher|Lower|ClassificationNA</t>
  </si>
  <si>
    <t>plannedResponses[].riskNumber|inkRiskNumber; risks[].classificationType</t>
  </si>
  <si>
    <t>GET .../plannedresponse/byRiskAssessmentId；PATCH .../risks/{risk.id}</t>
  </si>
  <si>
    <t>按 riskNumber 精确匹配；JSON Patch /classificationType；写后回读</t>
  </si>
  <si>
    <t>src/omnia-phase1.js:1723-1812; toolkit/tools/gra-creator/src/app.js:5093-5145</t>
  </si>
  <si>
    <t>Higher=Higher; Lower=Lower; riskNumber 必须唯一精确匹配</t>
  </si>
  <si>
    <t>SRC.风险评估.005.RISK</t>
  </si>
  <si>
    <t>Risk 目录由 Omnia 内容生成；Agent 只按已验证计划设置分类。</t>
  </si>
  <si>
    <t>P1.CONTROL.APP.GENERIC.APP_01</t>
  </si>
  <si>
    <t>Control</t>
  </si>
  <si>
    <t>APP.01｜管理层批准新用户及变更的用户访问权限的性质与范围，包括标准的应用系统用户组/角色、关键财务报告交易和职责分离。</t>
  </si>
  <si>
    <t>Omnia Control 目录项</t>
  </si>
  <si>
    <t>Omnia自动</t>
  </si>
  <si>
    <t>按关系规则</t>
  </si>
  <si>
    <t>controls[].controlNumber|name|description</t>
  </si>
  <si>
    <t>GET /rapr/v0/engagements/{engagementId}/controls/byRiskAssessmentId/{riskAssessmentId}?includeContentDeleted=false</t>
  </si>
  <si>
    <t>response controls[]；按 controlNumber 精确匹配</t>
  </si>
  <si>
    <t>toolkit/tools/gra-creator/src/app.js:3354-3400,3717-3745</t>
  </si>
  <si>
    <t>controlNumber 必须唯一精确匹配；不得仅按模糊描述关联</t>
  </si>
  <si>
    <t>SRC.风险评估.005.CONTROL</t>
  </si>
  <si>
    <t>目录可见不代表 Agent 应建立关联；以 link_required_* 为准。</t>
  </si>
  <si>
    <t>P1.CONTROL.APP.GENERIC.APP_02</t>
  </si>
  <si>
    <t>APP.02｜及时删除或修改已离职和/或调职用户的访问权限。</t>
  </si>
  <si>
    <t>SRC.风险评估.006.CONTROL</t>
  </si>
  <si>
    <t>P1.CONTROL.APP.GENERIC.APP_03</t>
  </si>
  <si>
    <t>N</t>
  </si>
  <si>
    <t>APP.03｜定期复核用户访问权限。</t>
  </si>
  <si>
    <t>SRC.风险评估.007.CONTROL</t>
  </si>
  <si>
    <t>P1.CONTROL.APP.GENERIC.APP_06</t>
  </si>
  <si>
    <t>APP.06｜特权级别访问 (例如安全管理员) 已获得授权并受到适当限制。</t>
  </si>
  <si>
    <t>SRC.风险评估.008.CONTROL</t>
  </si>
  <si>
    <t>P1.RISK.APP.GENERIC.RAITCOR002</t>
  </si>
  <si>
    <t>RAITCOR002｜通用应用程序 - 通过应用系统层面操作以外的其他方式直接对财务数据进行不适当的更改。</t>
  </si>
  <si>
    <t>Higher=ClassificationNA; Lower=ClassificationNA; riskNumber 必须唯一精确匹配</t>
  </si>
  <si>
    <t>SRC.风险评估.009.RISK</t>
  </si>
  <si>
    <t>P1.RISK.APP.GENERIC.RAITCOR003</t>
  </si>
  <si>
    <t>RAITCOR003｜通用应用程序 - 系统配置或更新不足，无法限制正确授权和适当的用户访问系统。</t>
  </si>
  <si>
    <t>SRC.风险评估.010.RISK</t>
  </si>
  <si>
    <t>P1.CONTROL.APP.GENERIC.APP_05</t>
  </si>
  <si>
    <t>APP.05｜通过唯一的用户 ID 和密码或其他方法进行身份验证，以此作为验证用户是否有权访问系统的机制。密码参数符合公司和 / 或行业标准 (例如 密码最短长度和复杂度，密码自动过期，账号锁定)。</t>
  </si>
  <si>
    <t>SRC.风险评估.010.CONTROL</t>
  </si>
  <si>
    <t>P1.RISK.APP.GENERIC.RAITCOR004</t>
  </si>
  <si>
    <t>RAITCOR004｜通用应用程序 - 对包含相关自动控制 (即可配置设置，自动算法，自动计算和自动数据提取) 和 / 或报告逻辑的应用系统或程序进行了不适当的变更。</t>
  </si>
  <si>
    <t>SRC.风险评估.011.RISK</t>
  </si>
  <si>
    <t>P1.CONTROL.APP.GENERIC.APP_10</t>
  </si>
  <si>
    <t>APP.10｜在将应用程序变更移至生产环境之前，应对其进行适当的测试和批准。</t>
  </si>
  <si>
    <t>SRC.风险评估.011.CONTROL</t>
  </si>
  <si>
    <t>P1.CONTROL.APP.GENERIC.APP_13</t>
  </si>
  <si>
    <t>APP.13｜对应用程序生产环境进行变更的访问受到适当限制，并与开发环境隔离。</t>
  </si>
  <si>
    <t>SRC.风险评估.012.CONTROL</t>
  </si>
  <si>
    <t>P1.RISK.APP.GENERIC.RAITCOR007</t>
  </si>
  <si>
    <t>RAITCOR007｜通用应用程序 - 在从旧系统或以前版本的系统转换数据时，由于转换传输的数据不完整、冗余、过时或不准确导致传输数据错误。</t>
  </si>
  <si>
    <t>SRC.风险评估.013.RISK</t>
  </si>
  <si>
    <t>P1.RISK.APP.GENERIC.RAITCOR010</t>
  </si>
  <si>
    <t>RAITCOR010｜通用应用程序 - 当数据丢失时，无法及时恢复或访问财务数据。</t>
  </si>
  <si>
    <t>SRC.风险评估.014.RISK</t>
  </si>
  <si>
    <t>P1.CONTROL.APP.GENERIC.DCNO_17</t>
  </si>
  <si>
    <t>DCNO.17｜财务数据定期根据既定的时间表和频率进行备份。</t>
  </si>
  <si>
    <t>SRC.风险评估.014.CONTROL</t>
  </si>
  <si>
    <t>P1.RISK.APP.GENERIC.RAITCOR011</t>
  </si>
  <si>
    <t>RAITCOR011｜通用应用程序 - 生产系统，程序和 / 或系统任务会导致数据处理不准确，不完整或对数据未经授权的处理。</t>
  </si>
  <si>
    <t>SRC.风险评估.015.RISK</t>
  </si>
  <si>
    <t>P1.CONTROL.APP.GENERIC.APP_15</t>
  </si>
  <si>
    <t>APP.15｜只有授权用户才有权变更定时任务调度软件中的批处理任务 (包括接口任务)。</t>
  </si>
  <si>
    <t>SRC.风险评估.015.CONTROL</t>
  </si>
  <si>
    <t>P1.CONTROL.APP.GENERIC.APP_16</t>
  </si>
  <si>
    <t>APP.16｜监控关键系统，程序和 / 或任务，并纠正处理错误以确保其成功完成。</t>
  </si>
  <si>
    <t>SRC.风险评估.016.CONTROL</t>
  </si>
  <si>
    <t>P1.RISK.APP.SAP_ECC.RAITCOR011</t>
  </si>
  <si>
    <t>Application / SAP ECC</t>
  </si>
  <si>
    <t>RAITCOR011｜SAP ECC - 生产系统、程序和/或系统任务会导致数据处理不准确、不完整或未经授权。</t>
  </si>
  <si>
    <t>SRC.风险评估.022.RISK</t>
  </si>
  <si>
    <t>P1.CONTROL.APP.SAP_ECC.SAP_15</t>
  </si>
  <si>
    <t>SAP.15｜只有授权用户有权变更SAP批处理任务（包括接口任务）。</t>
  </si>
  <si>
    <t>SRC.风险评估.022.CONTROL</t>
  </si>
  <si>
    <t>P1.CONTROL.APP.SAP_ECC.SAP_27</t>
  </si>
  <si>
    <t>SAP.27｜监控IDOC并及时解决问题；IDOC变更权限按岗位职责适当授予。</t>
  </si>
  <si>
    <t>SRC.风险评估.023.CONTROL</t>
  </si>
  <si>
    <t>P1.CONTROL.APP.SAP_ECC.SAP_16</t>
  </si>
  <si>
    <t>SAP.16｜监控SAP关键任务，并纠正处理错误以确保成功完成。</t>
  </si>
  <si>
    <t>SRC.风险评估.024.CONTROL</t>
  </si>
  <si>
    <t>P1.RISK.APP.SAP_ECC.RAITCOR001</t>
  </si>
  <si>
    <t>RAITCOR001｜SAP ECC - 用户拥有的访问权限超出了执行分配的职责所必需的权限，这可能导致职责分离不当。</t>
  </si>
  <si>
    <t>SRC.风险评估.025.RISK</t>
  </si>
  <si>
    <t>P1.CONTROL.APP.SAP_ECC.SAP_01</t>
  </si>
  <si>
    <t>SAP.01｜管理层批准SAP新用户及变更用户访问权限的性质与范围，包括角色、关键交易及职责分离。</t>
  </si>
  <si>
    <t>SRC.风险评估.025.CONTROL</t>
  </si>
  <si>
    <t>P1.CONTROL.APP.SAP_ECC.SAP_02</t>
  </si>
  <si>
    <t>SAP.02｜及时删除或修改已离职和/或调职用户的SAP访问权限。</t>
  </si>
  <si>
    <t>SRC.风险评估.026.CONTROL</t>
  </si>
  <si>
    <t>P1.CONTROL.APP.SAP_ECC.SAP_03</t>
  </si>
  <si>
    <t>SAP.03｜定期复核SAP用户访问权限。</t>
  </si>
  <si>
    <t>SRC.风险评估.027.CONTROL</t>
  </si>
  <si>
    <t>P1.CONTROL.APP.SAP_ECC.SAP_06</t>
  </si>
  <si>
    <t>SAP.06｜SAP安全管理功能的访问已获授权并受到适当限制。</t>
  </si>
  <si>
    <t>SRC.风险评估.028.CONTROL</t>
  </si>
  <si>
    <t>P1.CONTROL.APP.SAP_ECC.SAP_07</t>
  </si>
  <si>
    <t>SAP.07｜表更新权限按业务需要限制，并限定到职责所需的具体表。</t>
  </si>
  <si>
    <t>SRC.风险评估.029.CONTROL</t>
  </si>
  <si>
    <t>P1.CONTROL.APP.SAP_ECC.SAP_11</t>
  </si>
  <si>
    <t>SAP.11｜修改密码参数的权限按岗位职责适当授予。</t>
  </si>
  <si>
    <t>SRC.风险评估.030.CONTROL</t>
  </si>
  <si>
    <t>P1.CONTROL.APP.SAP_ECC.SAP_17</t>
  </si>
  <si>
    <t>SAP.17｜用户仅可按岗位职责执行所需程序，不授予全部事务代码权限。</t>
  </si>
  <si>
    <t>SRC.风险评估.031.CONTROL</t>
  </si>
  <si>
    <t>P1.CONTROL.APP.SAP_ECC.SAP_18</t>
  </si>
  <si>
    <t>SAP.18｜SAP_ALL和SAP_NEW等强大配置文件受到适当保护。</t>
  </si>
  <si>
    <t>SRC.风险评估.032.CONTROL</t>
  </si>
  <si>
    <t>P1.CONTROL.APP.SAP_ECC.SAP_19</t>
  </si>
  <si>
    <t>SAP.19｜SAP供应商远程维护访问受到限制、经管理层批准并及时移除。</t>
  </si>
  <si>
    <t>SRC.风险评估.033.CONTROL</t>
  </si>
  <si>
    <t>P1.RISK.APP.SAP_ECC.RAITCOR003</t>
  </si>
  <si>
    <t>RAITCOR003｜SAP ECC - 系统配置或更新不足，无法限制正确授权和适当的用户访问系统。</t>
  </si>
  <si>
    <t>SRC.风险评估.034.RISK</t>
  </si>
  <si>
    <t>P1.CONTROL.APP.SAP_ECC.SAP_05</t>
  </si>
  <si>
    <t>SAP.05｜通过唯一用户ID、密码或其他方法进行身份验证；SAP密码参数符合公司和/或行业标准。</t>
  </si>
  <si>
    <t>SRC.风险评估.034.CONTROL</t>
  </si>
  <si>
    <t>P1.CONTROL.APP.SAP_ECC.SAP_09</t>
  </si>
  <si>
    <t>SAP.09｜所有客户端中的SAP标准ID默认密码均已修改并得到适当保护。</t>
  </si>
  <si>
    <t>SRC.风险评估.035.CONTROL</t>
  </si>
  <si>
    <t>P1.RISK.APP.SAP_ECC.RAITCOR004</t>
  </si>
  <si>
    <t>RAITCOR004｜SAP ECC - 对包含相关自动控制或报告逻辑的应用系统或程序进行了不适当的变更。</t>
  </si>
  <si>
    <t>SRC.风险评估.036.RISK</t>
  </si>
  <si>
    <t>P1.CONTROL.APP.SAP_ECC.SAP_10</t>
  </si>
  <si>
    <t>SAP.10｜SAP应用变更移至生产环境前经过适当测试和批准。</t>
  </si>
  <si>
    <t>SRC.风险评估.036.CONTROL</t>
  </si>
  <si>
    <t>P1.CONTROL.APP.SAP_ECC.SAP_13</t>
  </si>
  <si>
    <t>SAP.13｜SAP生产环境变更访问受到适当限制，并与开发环境隔离。</t>
  </si>
  <si>
    <t>SRC.风险评估.037.CONTROL</t>
  </si>
  <si>
    <t>P1.CONTROL.APP.SAP_ECC.SAP_23</t>
  </si>
  <si>
    <t>SAP.23｜生产客户端和系统设置禁止直接变更；设置变更被记录、监控并经管理层批准。</t>
  </si>
  <si>
    <t>SRC.风险评估.038.CONTROL</t>
  </si>
  <si>
    <t>P1.CONTROL.APP.SAP_ECC.SAP_26</t>
  </si>
  <si>
    <t>SAP.26｜生产环境不永久授予调试权限。</t>
  </si>
  <si>
    <t>SRC.风险评估.039.CONTROL</t>
  </si>
  <si>
    <t>P1.RISK.APP.SAP_ECC.RAITCOR007</t>
  </si>
  <si>
    <t>RAITCOR007｜SAP ECC - 从旧系统或以前版本转换数据时，因数据不完整、冗余、过时或不准确导致转换错误。</t>
  </si>
  <si>
    <t>SRC.风险评估.040.RISK</t>
  </si>
  <si>
    <t>P1.RISK.DB.GENERIC.RAITCOR001</t>
  </si>
  <si>
    <t>Database Infrastructure / 通用数据库</t>
  </si>
  <si>
    <t>RAITCOR001｜通用数据库 - 用户拥有的访问权限超出了执行分配的职责所必需的权限，这可能导致职责分离不当。</t>
  </si>
  <si>
    <t>SRC.风险评估.047.RISK</t>
  </si>
  <si>
    <t>P1.CONTROL.DB.GENERIC.DB_06</t>
  </si>
  <si>
    <t>DB.06｜数据库特权级别访问（配置、数据及安全管理员）已获授权并受到适当限制。</t>
  </si>
  <si>
    <t>SRC.风险评估.047.CONTROL</t>
  </si>
  <si>
    <t>P1.RISK.DB.GENERIC.RAITCOR002</t>
  </si>
  <si>
    <t>RAITCOR002｜通用数据库 - 通过应用系统层面操作以外的其他方式直接对财务数据进行不适当的更改。</t>
  </si>
  <si>
    <t>SRC.风险评估.048.RISK</t>
  </si>
  <si>
    <t>P1.RISK.DB.GENERIC.RAITCOR003</t>
  </si>
  <si>
    <t>RAITCOR003｜通用数据库 - 系统配置或更新不足，无法限制正确授权和适当的用户访问系统。</t>
  </si>
  <si>
    <t>SRC.风险评估.049.RISK</t>
  </si>
  <si>
    <t>P1.CONTROL.DB.GENERIC.DB_05</t>
  </si>
  <si>
    <t>DB.05｜通过唯一用户ID、密码或其他方法进行身份验证；数据库密码参数符合公司和/或行业标准。</t>
  </si>
  <si>
    <t>SRC.风险评估.049.CONTROL</t>
  </si>
  <si>
    <t>P1.CONTROL.DB.GENERIC.DB_09</t>
  </si>
  <si>
    <t>DB.09｜数据库安全配置的关键属性已得到适当实施。</t>
  </si>
  <si>
    <t>SRC.风险评估.050.CONTROL</t>
  </si>
  <si>
    <t>P1.RISK.DB.GENERIC.RAITCOR005</t>
  </si>
  <si>
    <t>RAITCOR005｜通用数据库 - 对数据库结构以及数据之间的关系进行了不适当的变更。</t>
  </si>
  <si>
    <t>SRC.风险评估.051.RISK</t>
  </si>
  <si>
    <t>P1.CONTROL.DB.GENERIC.DB_10</t>
  </si>
  <si>
    <t>DB.10｜数据库变更移至生产环境前经过适当测试和批准。</t>
  </si>
  <si>
    <t>SRC.风险评估.051.CONTROL</t>
  </si>
  <si>
    <t>P1.RISK.DB.GENERIC.RAITCOR011</t>
  </si>
  <si>
    <t>RAITCOR011｜通用数据库 - 生产系统、程序和/或系统任务会导致数据处理不准确、不完整或未经授权。</t>
  </si>
  <si>
    <t>SRC.风险评估.052.RISK</t>
  </si>
  <si>
    <t>P1.CONTROL.DB.GENERIC.DB_15</t>
  </si>
  <si>
    <t>DB.15｜只有授权人员可以创建或变更数据库中的计划任务。</t>
  </si>
  <si>
    <t>SRC.风险评估.052.CONTROL</t>
  </si>
  <si>
    <t>P1.CONTROL.DB.GENERIC.DB_16</t>
  </si>
  <si>
    <t>DB.16｜监控关键数据库任务，并纠正处理错误以确保成功完成。</t>
  </si>
  <si>
    <t>SRC.风险评估.053.CONTROL</t>
  </si>
  <si>
    <t>P1.RISK.DB.GENERIC.RAITCOR007</t>
  </si>
  <si>
    <t>RAITCOR007｜通用数据库 - 从旧系统或以前版本转换数据时，因数据不完整、冗余、过时或不准确导致转换错误。</t>
  </si>
  <si>
    <t>SRC.风险评估.054.RISK</t>
  </si>
  <si>
    <t>P1.RISK.DB.ORACLE.RAITCOR001</t>
  </si>
  <si>
    <t>Database Infrastructure / Oracle数据库</t>
  </si>
  <si>
    <t>RAITCOR001｜Oracle数据库 - 用户拥有的访问权限超出了执行分配的职责所必需的权限，这可能导致职责分离不当。</t>
  </si>
  <si>
    <t>SRC.风险评估.061.RISK</t>
  </si>
  <si>
    <t>P1.CONTROL.DB.ORACLE.ORAD_06</t>
  </si>
  <si>
    <t>ORAD.06｜Oracle特权级别访问（配置、数据及安全管理员）已获授权并受到适当限制。</t>
  </si>
  <si>
    <t>SRC.风险评估.061.CONTROL</t>
  </si>
  <si>
    <t>P1.RISK.DB.ORACLE.RAITCOR003</t>
  </si>
  <si>
    <t>RAITCOR003｜Oracle数据库 - 系统配置或更新不足，无法限制正确授权和适当的用户访问系统。</t>
  </si>
  <si>
    <t>SRC.风险评估.062.RISK</t>
  </si>
  <si>
    <t>P1.CONTROL.DB.ORACLE.ORAD_05</t>
  </si>
  <si>
    <t>ORAD.05｜通过唯一用户ID、密码或其他方法进行身份验证；Oracle密码参数符合公司和/或行业标准。</t>
  </si>
  <si>
    <t>SRC.风险评估.062.CONTROL</t>
  </si>
  <si>
    <t>P1.RISK.DB.ORACLE.RAITCOR005</t>
  </si>
  <si>
    <t>RAITCOR005｜Oracle数据库 - 对数据库结构以及数据之间的关系进行了不适当的变更。</t>
  </si>
  <si>
    <t>SRC.风险评估.063.RISK</t>
  </si>
  <si>
    <t>P1.CONTROL.DB.ORACLE.ORAD_10</t>
  </si>
  <si>
    <t>ORAD.10｜Oracle数据库变更移至生产环境前经过适当测试和批准。</t>
  </si>
  <si>
    <t>SRC.风险评估.063.CONTROL</t>
  </si>
  <si>
    <t>P1.RISK.DB.ORACLE.RAITCOR011</t>
  </si>
  <si>
    <t>RAITCOR011｜Oracle数据库 - 生产系统、程序和/或系统任务会导致数据处理不准确、不完整或未经授权。</t>
  </si>
  <si>
    <t>SRC.风险评估.064.RISK</t>
  </si>
  <si>
    <t>P1.CONTROL.DB.ORACLE.ORAD_15</t>
  </si>
  <si>
    <t>ORAD.15｜仅少数授权人员可创建或变更Oracle计划任务。</t>
  </si>
  <si>
    <t>SRC.风险评估.064.CONTROL</t>
  </si>
  <si>
    <t>P1.CONTROL.DB.ORACLE.ORAD_16</t>
  </si>
  <si>
    <t>ORAD.16｜监控关键Oracle系统、程序和/或任务，并纠正处理错误以确保成功完成。</t>
  </si>
  <si>
    <t>SRC.风险评估.065.CONTROL</t>
  </si>
  <si>
    <t>P1.RISK.DB.ORACLE.RAITCOR007</t>
  </si>
  <si>
    <t>RAITCOR007｜Oracle数据库 - 从旧系统或以前版本转换数据时，因数据不完整、冗余、过时或不准确导致转换错误。</t>
  </si>
  <si>
    <t>SRC.风险评估.066.RISK</t>
  </si>
  <si>
    <t>P1.RISK.DB.SQL.RAITCOR001</t>
  </si>
  <si>
    <t>Database Infrastructure / SQL Server数据库</t>
  </si>
  <si>
    <t>RAITCOR001｜SQL Server数据库 - 用户拥有的访问权限超出了执行分配的职责所必需的权限，这可能导致职责分离不当。</t>
  </si>
  <si>
    <t>SRC.风险评估.073.RISK</t>
  </si>
  <si>
    <t>P1.CONTROL.DB.SQL.SQL_06</t>
  </si>
  <si>
    <t>SQL.06｜SQL Server特权级别访问（配置、数据及安全管理员）已获授权并受到适当限制。</t>
  </si>
  <si>
    <t>SRC.风险评估.073.CONTROL</t>
  </si>
  <si>
    <t>P1.RISK.DB.SQL.RAITCOR003</t>
  </si>
  <si>
    <t>RAITCOR003｜SQL Server数据库 - 系统配置或更新不足，无法限制正确授权和适当的用户访问系统。</t>
  </si>
  <si>
    <t>SRC.风险评估.074.RISK</t>
  </si>
  <si>
    <t>P1.CONTROL.DB.SQL.SQL_05</t>
  </si>
  <si>
    <t>SQL.05｜通过唯一用户ID、密码或其他方法进行身份验证；SQL Server密码参数符合公司和/或行业标准。</t>
  </si>
  <si>
    <t>SRC.风险评估.074.CONTROL</t>
  </si>
  <si>
    <t>P1.RISK.DB.SQL.RAITCOR005</t>
  </si>
  <si>
    <t>RAITCOR005｜SQL Server数据库 - 对数据库结构以及数据之间的关系进行了不适当的变更。</t>
  </si>
  <si>
    <t>SRC.风险评估.075.RISK</t>
  </si>
  <si>
    <t>P1.CONTROL.DB.SQL.SQL_10</t>
  </si>
  <si>
    <t>SQL.10｜SQL Server数据库变更移至生产环境前经过适当测试和批准。</t>
  </si>
  <si>
    <t>SRC.风险评估.075.CONTROL</t>
  </si>
  <si>
    <t>P1.RISK.DB.SQL.RAITCOR011</t>
  </si>
  <si>
    <t>RAITCOR011｜SQL Server数据库 - 生产系统、程序和/或系统任务会导致数据处理不准确、不完整或未经授权。</t>
  </si>
  <si>
    <t>SRC.风险评估.076.RISK</t>
  </si>
  <si>
    <t>P1.CONTROL.DB.SQL.SQL_15</t>
  </si>
  <si>
    <t>SQL.15｜仅少数授权人员可创建或变更SQL Server计划任务。</t>
  </si>
  <si>
    <t>SRC.风险评估.076.CONTROL</t>
  </si>
  <si>
    <t>P1.CONTROL.DB.SQL.SQL_16</t>
  </si>
  <si>
    <t>SQL.16｜监控关键SQL Server系统、程序和/或任务，并纠正处理错误以确保成功完成。</t>
  </si>
  <si>
    <t>SRC.风险评估.077.CONTROL</t>
  </si>
  <si>
    <t>P1.RISK.DB.SQL.RAITCOR007</t>
  </si>
  <si>
    <t>RAITCOR007｜SQL Server数据库 - 从旧系统或以前版本转换数据时，因数据不完整、冗余、过时或不准确导致转换错误。</t>
  </si>
  <si>
    <t>SRC.风险评估.078.RISK</t>
  </si>
  <si>
    <t>P1.RISK.OS.GENERIC.RAITCOR001</t>
  </si>
  <si>
    <t>Operating System Infrastructure / 通用操作系统</t>
  </si>
  <si>
    <t>RAITCOR001｜通用操作系统 - 用户拥有的访问权限超出了执行分配的职责所必需的权限，这可能导致职责分离不当。</t>
  </si>
  <si>
    <t>SRC.风险评估.085.RISK</t>
  </si>
  <si>
    <t>P1.CONTROL.OS.GENERIC.OS_02</t>
  </si>
  <si>
    <t>OS.02｜及时删除或修改已离职和/或调职用户的操作系统访问权限。</t>
  </si>
  <si>
    <t>SRC.风险评估.085.CONTROL</t>
  </si>
  <si>
    <t>P1.CONTROL.OS.GENERIC.OS_03</t>
  </si>
  <si>
    <t>OS.03｜定期复核操作系统用户访问权限。</t>
  </si>
  <si>
    <t>SRC.风险评估.086.CONTROL</t>
  </si>
  <si>
    <t>P1.CONTROL.OS.GENERIC.OS_06</t>
  </si>
  <si>
    <t>OS.06｜操作系统特权级别访问（配置及安全管理员）已获授权并受到适当限制。</t>
  </si>
  <si>
    <t>SRC.风险评估.087.CONTROL</t>
  </si>
  <si>
    <t>P1.RISK.OS.GENERIC.RAITCOR003</t>
  </si>
  <si>
    <t>RAITCOR003｜通用操作系统 - 系统配置或更新不足，无法限制正确授权和适当的用户访问系统。</t>
  </si>
  <si>
    <t>SRC.风险评估.088.RISK</t>
  </si>
  <si>
    <t>P1.CONTROL.OS.GENERIC.OS_05</t>
  </si>
  <si>
    <t>OS.05｜通过唯一用户ID、密码或其他方法进行身份验证；操作系统密码参数符合公司和/或行业标准。</t>
  </si>
  <si>
    <t>SRC.风险评估.088.CONTROL</t>
  </si>
  <si>
    <t>P1.CONTROL.OS.GENERIC.OS_09</t>
  </si>
  <si>
    <t>OS.09｜操作系统安全配置的关键属性已得到适当实施。</t>
  </si>
  <si>
    <t>SRC.风险评估.089.CONTROL</t>
  </si>
  <si>
    <t>P1.RISK.OS.GENERIC.RAITCOR006</t>
  </si>
  <si>
    <t>RAITCOR006｜通用操作系统 - 对系统软件（如操作系统、网络、变更管理软件或访问控制软件）进行了不适当的变更。</t>
  </si>
  <si>
    <t>SRC.风险评估.090.RISK</t>
  </si>
  <si>
    <t>P1.CONTROL.OS.GENERIC.OS_10</t>
  </si>
  <si>
    <t>OS.10｜操作系统变更（包括安全补丁）移至生产环境前经过适当测试和批准。</t>
  </si>
  <si>
    <t>SRC.风险评估.090.CONTROL</t>
  </si>
  <si>
    <t>P1.RISK.OS.GENERIC.RAITCOR011</t>
  </si>
  <si>
    <t>RAITCOR011｜通用操作系统 - 生产系统、程序和/或系统任务会导致数据处理不准确、不完整或未经授权。</t>
  </si>
  <si>
    <t>SRC.风险评估.091.RISK</t>
  </si>
  <si>
    <t>P1.CONTROL.OS.GENERIC.OS_15</t>
  </si>
  <si>
    <t>OS.15｜只有授权用户有权变更操作系统批处理任务（包括接口任务）。</t>
  </si>
  <si>
    <t>SRC.风险评估.091.CONTROL</t>
  </si>
  <si>
    <t>P1.CONTROL.OS.GENERIC.OS_16</t>
  </si>
  <si>
    <t>OS.16｜监控关键系统、程序和/或任务，并纠正处理错误以确保成功完成。</t>
  </si>
  <si>
    <t>SRC.风险评估.092.CONTROL</t>
  </si>
  <si>
    <t>P1.RISK.OS.UNIX.RAITCOR001</t>
  </si>
  <si>
    <t>Operating System Infrastructure / UNIX / Linux</t>
  </si>
  <si>
    <t>RAITCOR001｜UNIX / Linux - 用户拥有的访问权限超出了执行分配的职责所必需的权限，这可能导致职责分离不当。</t>
  </si>
  <si>
    <t>SRC.风险评估.099.RISK</t>
  </si>
  <si>
    <t>P1.CONTROL.OS.UNIX.UNIX_06</t>
  </si>
  <si>
    <t>UNIX.06｜UNIX特权级别访问（配置及安全管理员）已获授权并受到适当限制。</t>
  </si>
  <si>
    <t>SRC.风险评估.099.CONTROL</t>
  </si>
  <si>
    <t>P1.RISK.OS.UNIX.RAITCOR003</t>
  </si>
  <si>
    <t>RAITCOR003｜UNIX / Linux - 系统配置或更新不足，无法限制正确授权和适当的用户访问系统。</t>
  </si>
  <si>
    <t>SRC.风险评估.100.RISK</t>
  </si>
  <si>
    <t>P1.CONTROL.OS.UNIX.UNIX_05</t>
  </si>
  <si>
    <t>UNIX.05｜通过唯一用户ID、密码或其他方法进行身份验证；UNIX密码参数符合公司和/或行业标准。</t>
  </si>
  <si>
    <t>SRC.风险评估.100.CONTROL</t>
  </si>
  <si>
    <t>P1.CONTROL.OS.UNIX.UNIX_09</t>
  </si>
  <si>
    <t>UNIX.09｜UNIX安全配置的关键属性已得到适当实施。</t>
  </si>
  <si>
    <t>SRC.风险评估.101.CONTROL</t>
  </si>
  <si>
    <t>P1.RISK.OS.UNIX.RAITCOR006</t>
  </si>
  <si>
    <t>RAITCOR006｜UNIX / Linux - 对系统软件（如操作系统、网络、变更管理软件或访问控制软件）进行了不适当的变更。</t>
  </si>
  <si>
    <t>SRC.风险评估.102.RISK</t>
  </si>
  <si>
    <t>P1.CONTROL.OS.UNIX.UNIX_10</t>
  </si>
  <si>
    <t>UNIX.10｜UNIX操作系统变更移至生产环境前经过适当测试和批准。</t>
  </si>
  <si>
    <t>SRC.风险评估.102.CONTROL</t>
  </si>
  <si>
    <t>P1.RISK.OS.UNIX.RAITCOR011</t>
  </si>
  <si>
    <t>RAITCOR011｜UNIX / Linux - 生产系统、程序和/或系统任务会导致数据处理不准确、不完整或未经授权。</t>
  </si>
  <si>
    <t>SRC.风险评估.103.RISK</t>
  </si>
  <si>
    <t>P1.CONTROL.OS.UNIX.UNIX_15</t>
  </si>
  <si>
    <t>UNIX.15｜仅授权人员可以访问处理关键财务数据的UNIX任务进程。</t>
  </si>
  <si>
    <t>SRC.风险评估.103.CONTROL</t>
  </si>
  <si>
    <t>P1.CONTROL.OS.UNIX.UNIX_16</t>
  </si>
  <si>
    <t>UNIX.16｜监控关键UNIX系统、程序和/或任务，并纠正处理错误以确保成功完成。</t>
  </si>
  <si>
    <t>SRC.风险评估.104.CONTROL</t>
  </si>
  <si>
    <t>P1.RISK.OS.WIN.RAITCOR001</t>
  </si>
  <si>
    <t>Operating System Infrastructure / Windows</t>
  </si>
  <si>
    <t>RAITCOR001｜Windows - 用户拥有的访问权限超出了执行分配的职责所必需的权限，这可能导致职责分离不当。</t>
  </si>
  <si>
    <t>SRC.风险评估.111.RISK</t>
  </si>
  <si>
    <t>P1.CONTROL.OS.WIN.WIN_06</t>
  </si>
  <si>
    <t>WIN.06｜Windows特权级别访问（配置及安全管理员）已获授权并受到适当限制。</t>
  </si>
  <si>
    <t>SRC.风险评估.111.CONTROL</t>
  </si>
  <si>
    <t>P1.RISK.OS.WIN.RAITCOR003</t>
  </si>
  <si>
    <t>RAITCOR003｜Windows - 系统配置或更新不足，无法限制正确授权和适当的用户访问系统。</t>
  </si>
  <si>
    <t>SRC.风险评估.112.RISK</t>
  </si>
  <si>
    <t>P1.CONTROL.OS.WIN.WIN_05</t>
  </si>
  <si>
    <t>WIN.05｜通过唯一用户ID、密码或其他方法进行身份验证；Windows密码参数符合公司和/或行业标准。</t>
  </si>
  <si>
    <t>SRC.风险评估.112.CONTROL</t>
  </si>
  <si>
    <t>P1.RISK.OS.WIN.RAITCOR006</t>
  </si>
  <si>
    <t>RAITCOR006｜Windows - 对系统软件（如操作系统、网络、变更管理软件或访问控制软件）进行了不适当的变更。</t>
  </si>
  <si>
    <t>SRC.风险评估.113.RISK</t>
  </si>
  <si>
    <t>P1.CONTROL.OS.WIN.WIN_10</t>
  </si>
  <si>
    <t>WIN.10｜Windows操作系统变更（包括安全补丁）移至生产环境前经过适当测试和批准。</t>
  </si>
  <si>
    <t>SRC.风险评估.113.CONTROL</t>
  </si>
  <si>
    <t>P1.RISK.TOOL.TICKET.RAITTOOL001</t>
  </si>
  <si>
    <t>IT Tool / 工单工具</t>
  </si>
  <si>
    <t>RAITTOOL001｜工单工具 - 系统中的电子审批不可靠或可能会被修改。</t>
  </si>
  <si>
    <t>src/omnia-phase1.js:1855-1868; toolkit/tools/gra-creator/src/app.js:5093-5145</t>
  </si>
  <si>
    <t>SRC.风险评估.120.RISK</t>
  </si>
  <si>
    <t>P1.CONTROL.TOOL.TICKET.TOOL_05</t>
  </si>
  <si>
    <t>TOOL.05｜通过唯一用户ID、密码或其他方法进行身份验证；密码参数符合公司和/或行业标准。</t>
  </si>
  <si>
    <t>SRC.风险评估.120.CONTROL</t>
  </si>
  <si>
    <t>P1.CONTROL.TOOL.TICKET.TOOL_06</t>
  </si>
  <si>
    <t>TOOL.06｜特权级别访问（如安全管理员或配置修改用户）已获授权并受到适当限制。</t>
  </si>
  <si>
    <t>SRC.风险评估.121.CONTROL</t>
  </si>
  <si>
    <t>P1.RISK.TOOL.IDENTITY.RAITTOOL005</t>
  </si>
  <si>
    <t>IT Tool / 身份和访问管理工具</t>
  </si>
  <si>
    <t>RAITTOOL005｜身份和访问管理工具 - 用户会被授予不当的访问权限，且/或终止用户的访问权限可能无法及时删除。</t>
  </si>
  <si>
    <t>SRC.风险评估.128.RISK</t>
  </si>
  <si>
    <t>P1.CONTROL.TOOL.IDENTITY.TOOL_05</t>
  </si>
  <si>
    <t>SRC.风险评估.128.CONTROL</t>
  </si>
  <si>
    <t>P1.CONTROL.TOOL.IDENTITY.TOOL_06</t>
  </si>
  <si>
    <t>SRC.风险评估.129.CONTROL</t>
  </si>
  <si>
    <t>P1.RISK.TOOL.IDENTITY.RAITTOOL006</t>
  </si>
  <si>
    <t>RAITTOOL006｜身份和访问管理工具 - 访问权限复核可能不准确或不完整。</t>
  </si>
  <si>
    <t>SRC.风险评估.130.RISK</t>
  </si>
  <si>
    <t>P1.CONTROL.TOOL.IDENTITY.TOOL_10</t>
  </si>
  <si>
    <t>TOOL.10｜v4未发现标准中文名/待确认</t>
  </si>
  <si>
    <t>Identity Tool Higher 录制合同中的额外 Control</t>
  </si>
  <si>
    <t>Higher 条件必需</t>
  </si>
  <si>
    <t>toolScopedDefaults().controlLinks[].controlNumber</t>
  </si>
  <si>
    <t>GET controls catalog then POST Risk-Control association</t>
  </si>
  <si>
    <t>Higher only; exact controlNumber</t>
  </si>
  <si>
    <t>src/omnia-phase1.js:1855-1868</t>
  </si>
  <si>
    <t>仅 Higher；需按 controlNumber 精确匹配</t>
  </si>
  <si>
    <t>v4 录制合同存在，但原表未给出标准中文名称。</t>
  </si>
  <si>
    <t>P1.CONTROL.TOOL.IDENTITY.TOOL_01</t>
  </si>
  <si>
    <t>TOOL.01｜v4未发现标准中文名/待确认</t>
  </si>
  <si>
    <t>P1.CONTROL.TOOL.IDENTITY.TOOL_02</t>
  </si>
  <si>
    <t>TOOL.02｜v4未发现标准中文名/待确认</t>
  </si>
  <si>
    <t>Risk–Control 多对多关系长表</t>
  </si>
  <si>
    <t>catalog_present_* 仅表示目录存在；link_required_* 决定 Agent 是否应关联。一个 Risk/Control 可出现多行；禁止逗号列表。</t>
  </si>
  <si>
    <t>relation_id</t>
  </si>
  <si>
    <t>risk_field_id</t>
  </si>
  <si>
    <t>Risk标准名</t>
  </si>
  <si>
    <t>control_field_id</t>
  </si>
  <si>
    <t>Control标准名</t>
  </si>
  <si>
    <t>关系类型/方向</t>
  </si>
  <si>
    <t>catalog_present_higher</t>
  </si>
  <si>
    <t>catalog_present_lower</t>
  </si>
  <si>
    <t>link_required_higher</t>
  </si>
  <si>
    <t>link_required_lower</t>
  </si>
  <si>
    <t>classification_higher</t>
  </si>
  <si>
    <t>classification_lower</t>
  </si>
  <si>
    <t>执行适用层级</t>
  </si>
  <si>
    <t>适用场景/对象类型</t>
  </si>
  <si>
    <t>是否必需</t>
  </si>
  <si>
    <t>无资料时策略</t>
  </si>
  <si>
    <t>v4 evidence_type</t>
  </si>
  <si>
    <t>v4 JSON/API/DOM/connector路径</t>
  </si>
  <si>
    <t>证据文件+行号</t>
  </si>
  <si>
    <t>确认状态</t>
  </si>
  <si>
    <t>REL.APP.GENERIC.RAITCOR001.APP_01</t>
  </si>
  <si>
    <t>Risk -&gt; Control</t>
  </si>
  <si>
    <t>Higher</t>
  </si>
  <si>
    <t>Lower</t>
  </si>
  <si>
    <t>两者</t>
  </si>
  <si>
    <t>条件必需</t>
  </si>
  <si>
    <t>按元素 RAIT 筛选；目录/端点缺失则停止并报错</t>
  </si>
  <si>
    <t>GET plannedresponse + GET controls + POST validateHiddenDataForRiskAssociation + POST controls/controlrisks/associate；connector: association.preflight</t>
  </si>
  <si>
    <t>src/omnia-phase1.js:1723-1812; toolkit/tools/gra-creator/src/app.js:3700-3865</t>
  </si>
  <si>
    <t>SRC.风险评估.005</t>
  </si>
  <si>
    <t>catalog_present_* 表示目录存在；link_required_* 才决定 Agent 是否建立关联。</t>
  </si>
  <si>
    <t>REL.APP.GENERIC.RAITCOR001.APP_02</t>
  </si>
  <si>
    <t>SRC.风险评估.006</t>
  </si>
  <si>
    <t>REL.APP.GENERIC.RAITCOR001.APP_03</t>
  </si>
  <si>
    <t>SRC.风险评估.007</t>
  </si>
  <si>
    <t>REL.APP.GENERIC.RAITCOR001.APP_06</t>
  </si>
  <si>
    <t>SRC.风险评估.008</t>
  </si>
  <si>
    <t>REL.APP.GENERIC.RAITCOR003.APP_05</t>
  </si>
  <si>
    <t>SRC.风险评估.010</t>
  </si>
  <si>
    <t>REL.APP.GENERIC.RAITCOR004.APP_10</t>
  </si>
  <si>
    <t>SRC.风险评估.011</t>
  </si>
  <si>
    <t>REL.APP.GENERIC.RAITCOR004.APP_13</t>
  </si>
  <si>
    <t>SRC.风险评估.012</t>
  </si>
  <si>
    <t>REL.APP.GENERIC.RAITCOR010.DCNO_17</t>
  </si>
  <si>
    <t>不建立关联</t>
  </si>
  <si>
    <t>SRC.风险评估.014</t>
  </si>
  <si>
    <t>REL.APP.GENERIC.RAITCOR011.APP_15</t>
  </si>
  <si>
    <t>SRC.风险评估.015</t>
  </si>
  <si>
    <t>REL.APP.GENERIC.RAITCOR011.APP_16</t>
  </si>
  <si>
    <t>SRC.风险评估.016</t>
  </si>
  <si>
    <t>REL.APP.SAP_ECC.RAITCOR011.SAP_15</t>
  </si>
  <si>
    <t>阻断：不创建、不降级、不猜测</t>
  </si>
  <si>
    <t>SRC.风险评估.022</t>
  </si>
  <si>
    <t>REL.APP.SAP_ECC.RAITCOR011.SAP_27</t>
  </si>
  <si>
    <t>SRC.风险评估.023</t>
  </si>
  <si>
    <t>REL.APP.SAP_ECC.RAITCOR011.SAP_16</t>
  </si>
  <si>
    <t>SRC.风险评估.024</t>
  </si>
  <si>
    <t>REL.APP.SAP_ECC.RAITCOR001.SAP_01</t>
  </si>
  <si>
    <t>SRC.风险评估.025</t>
  </si>
  <si>
    <t>REL.APP.SAP_ECC.RAITCOR001.SAP_02</t>
  </si>
  <si>
    <t>SRC.风险评估.026</t>
  </si>
  <si>
    <t>REL.APP.SAP_ECC.RAITCOR001.SAP_03</t>
  </si>
  <si>
    <t>SRC.风险评估.027</t>
  </si>
  <si>
    <t>REL.APP.SAP_ECC.RAITCOR001.SAP_06</t>
  </si>
  <si>
    <t>SRC.风险评估.028</t>
  </si>
  <si>
    <t>REL.APP.SAP_ECC.RAITCOR001.SAP_07</t>
  </si>
  <si>
    <t>SRC.风险评估.029</t>
  </si>
  <si>
    <t>REL.APP.SAP_ECC.RAITCOR001.SAP_11</t>
  </si>
  <si>
    <t>SRC.风险评估.030</t>
  </si>
  <si>
    <t>REL.APP.SAP_ECC.RAITCOR001.SAP_17</t>
  </si>
  <si>
    <t>SRC.风险评估.031</t>
  </si>
  <si>
    <t>REL.APP.SAP_ECC.RAITCOR001.SAP_18</t>
  </si>
  <si>
    <t>SRC.风险评估.032</t>
  </si>
  <si>
    <t>REL.APP.SAP_ECC.RAITCOR001.SAP_19</t>
  </si>
  <si>
    <t>SRC.风险评估.033</t>
  </si>
  <si>
    <t>REL.APP.SAP_ECC.RAITCOR003.SAP_05</t>
  </si>
  <si>
    <t>SRC.风险评估.034</t>
  </si>
  <si>
    <t>REL.APP.SAP_ECC.RAITCOR003.SAP_09</t>
  </si>
  <si>
    <t>SRC.风险评估.035</t>
  </si>
  <si>
    <t>REL.APP.SAP_ECC.RAITCOR004.SAP_10</t>
  </si>
  <si>
    <t>SRC.风险评估.036</t>
  </si>
  <si>
    <t>REL.APP.SAP_ECC.RAITCOR004.SAP_13</t>
  </si>
  <si>
    <t>SRC.风险评估.037</t>
  </si>
  <si>
    <t>REL.APP.SAP_ECC.RAITCOR004.SAP_23</t>
  </si>
  <si>
    <t>SRC.风险评估.038</t>
  </si>
  <si>
    <t>REL.APP.SAP_ECC.RAITCOR004.SAP_26</t>
  </si>
  <si>
    <t>SRC.风险评估.039</t>
  </si>
  <si>
    <t>REL.DB.GENERIC.RAITCOR001.DB_06</t>
  </si>
  <si>
    <t>SRC.风险评估.047</t>
  </si>
  <si>
    <t>REL.DB.GENERIC.RAITCOR003.DB_05</t>
  </si>
  <si>
    <t>SRC.风险评估.049</t>
  </si>
  <si>
    <t>REL.DB.GENERIC.RAITCOR003.DB_09</t>
  </si>
  <si>
    <t>SRC.风险评估.050</t>
  </si>
  <si>
    <t>REL.DB.GENERIC.RAITCOR005.DB_10</t>
  </si>
  <si>
    <t>SRC.风险评估.051</t>
  </si>
  <si>
    <t>REL.DB.GENERIC.RAITCOR011.DB_15</t>
  </si>
  <si>
    <t>SRC.风险评估.052</t>
  </si>
  <si>
    <t>REL.DB.GENERIC.RAITCOR011.DB_16</t>
  </si>
  <si>
    <t>SRC.风险评估.053</t>
  </si>
  <si>
    <t>REL.DB.ORACLE.RAITCOR001.ORAD_06</t>
  </si>
  <si>
    <t>SRC.风险评估.061</t>
  </si>
  <si>
    <t>REL.DB.ORACLE.RAITCOR003.ORAD_05</t>
  </si>
  <si>
    <t>SRC.风险评估.062</t>
  </si>
  <si>
    <t>REL.DB.ORACLE.RAITCOR005.ORAD_10</t>
  </si>
  <si>
    <t>SRC.风险评估.063</t>
  </si>
  <si>
    <t>REL.DB.ORACLE.RAITCOR011.ORAD_15</t>
  </si>
  <si>
    <t>SRC.风险评估.064</t>
  </si>
  <si>
    <t>REL.DB.ORACLE.RAITCOR011.ORAD_16</t>
  </si>
  <si>
    <t>SRC.风险评估.065</t>
  </si>
  <si>
    <t>REL.DB.SQL.RAITCOR001.SQL_06</t>
  </si>
  <si>
    <t>SRC.风险评估.073</t>
  </si>
  <si>
    <t>REL.DB.SQL.RAITCOR003.SQL_05</t>
  </si>
  <si>
    <t>SRC.风险评估.074</t>
  </si>
  <si>
    <t>REL.DB.SQL.RAITCOR005.SQL_10</t>
  </si>
  <si>
    <t>SRC.风险评估.075</t>
  </si>
  <si>
    <t>REL.DB.SQL.RAITCOR011.SQL_15</t>
  </si>
  <si>
    <t>SRC.风险评估.076</t>
  </si>
  <si>
    <t>REL.DB.SQL.RAITCOR011.SQL_16</t>
  </si>
  <si>
    <t>SRC.风险评估.077</t>
  </si>
  <si>
    <t>REL.OS.GENERIC.RAITCOR001.OS_02</t>
  </si>
  <si>
    <t>SRC.风险评估.085</t>
  </si>
  <si>
    <t>REL.OS.GENERIC.RAITCOR001.OS_03</t>
  </si>
  <si>
    <t>SRC.风险评估.086</t>
  </si>
  <si>
    <t>REL.OS.GENERIC.RAITCOR001.OS_06</t>
  </si>
  <si>
    <t>SRC.风险评估.087</t>
  </si>
  <si>
    <t>REL.OS.GENERIC.RAITCOR003.OS_05</t>
  </si>
  <si>
    <t>SRC.风险评估.088</t>
  </si>
  <si>
    <t>REL.OS.GENERIC.RAITCOR003.OS_09</t>
  </si>
  <si>
    <t>SRC.风险评估.089</t>
  </si>
  <si>
    <t>REL.OS.GENERIC.RAITCOR006.OS_10</t>
  </si>
  <si>
    <t>SRC.风险评估.090</t>
  </si>
  <si>
    <t>REL.OS.GENERIC.RAITCOR011.OS_15</t>
  </si>
  <si>
    <t>SRC.风险评估.091</t>
  </si>
  <si>
    <t>REL.OS.GENERIC.RAITCOR011.OS_16</t>
  </si>
  <si>
    <t>SRC.风险评估.092</t>
  </si>
  <si>
    <t>REL.OS.UNIX.RAITCOR001.UNIX_06</t>
  </si>
  <si>
    <t>SRC.风险评估.099</t>
  </si>
  <si>
    <t>REL.OS.UNIX.RAITCOR003.UNIX_05</t>
  </si>
  <si>
    <t>SRC.风险评估.100</t>
  </si>
  <si>
    <t>REL.OS.UNIX.RAITCOR003.UNIX_09</t>
  </si>
  <si>
    <t>SRC.风险评估.101</t>
  </si>
  <si>
    <t>REL.OS.UNIX.RAITCOR006.UNIX_10</t>
  </si>
  <si>
    <t>SRC.风险评估.102</t>
  </si>
  <si>
    <t>REL.OS.UNIX.RAITCOR011.UNIX_15</t>
  </si>
  <si>
    <t>SRC.风险评估.103</t>
  </si>
  <si>
    <t>REL.OS.UNIX.RAITCOR011.UNIX_16</t>
  </si>
  <si>
    <t>SRC.风险评估.104</t>
  </si>
  <si>
    <t>REL.OS.WIN.RAITCOR001.WIN_06</t>
  </si>
  <si>
    <t>SRC.风险评估.111</t>
  </si>
  <si>
    <t>REL.OS.WIN.RAITCOR003.WIN_05</t>
  </si>
  <si>
    <t>SRC.风险评估.112</t>
  </si>
  <si>
    <t>REL.OS.WIN.RAITCOR006.WIN_10</t>
  </si>
  <si>
    <t>SRC.风险评估.113</t>
  </si>
  <si>
    <t>REL.TOOL.TICKET.RAITTOOL001.TOOL_05</t>
  </si>
  <si>
    <t>src/omnia-phase1.js:1855-1868; toolkit/tools/gra-creator/src/app.js:3700-3865</t>
  </si>
  <si>
    <t>SRC.风险评估.120</t>
  </si>
  <si>
    <t>REL.TOOL.TICKET.RAITTOOL001.TOOL_06</t>
  </si>
  <si>
    <t>SRC.风险评估.121</t>
  </si>
  <si>
    <t>REL.TOOL.IDENTITY.RAITTOOL005.TOOL_05</t>
  </si>
  <si>
    <t>SRC.风险评估.128</t>
  </si>
  <si>
    <t>REL.TOOL.IDENTITY.RAITTOOL005.TOOL_06</t>
  </si>
  <si>
    <t>SRC.风险评估.129</t>
  </si>
  <si>
    <t>REL.TOOL.IDENTITY.RAITTOOL005.TOOL_10</t>
  </si>
  <si>
    <t>RAITTOOL005｜身份和访问管理工具访问授权风险</t>
  </si>
  <si>
    <t>按元素 RAIT 筛选；目录缺失则停止并报错</t>
  </si>
  <si>
    <t>toolScopedDefaults -&gt; ControlLinks；GET controls + POST controls/controlrisks/associate</t>
  </si>
  <si>
    <t>来自 v4 录制合同；原表无标准中文名，明确待确认，不补猜。</t>
  </si>
  <si>
    <t>REL.TOOL.IDENTITY.RAITTOOL005.TOOL_01</t>
  </si>
  <si>
    <t>REL.TOOL.IDENTITY.RAITTOOL005.TOOL_02</t>
  </si>
  <si>
    <t>V4 接口与录制证据</t>
  </si>
  <si>
    <t>一条真实链路一行。API、DOM、connector、recording 分开标注；浏览器会话内 fetch 不伪装成纯后端 SDK。</t>
  </si>
  <si>
    <t>evidence_id</t>
  </si>
  <si>
    <t>operation</t>
  </si>
  <si>
    <t>endpoint/method/connector operation</t>
  </si>
  <si>
    <t>payload/response/DOM</t>
  </si>
  <si>
    <t>调用入口</t>
  </si>
  <si>
    <t>证据位置</t>
  </si>
  <si>
    <t>适用功能</t>
  </si>
  <si>
    <t>置信说明</t>
  </si>
  <si>
    <t>EV.P1.UPLOAD_PARSE</t>
  </si>
  <si>
    <t>上传资料解析</t>
  </si>
  <si>
    <t>官方 V2 分区解析</t>
  </si>
  <si>
    <t>systemInfoRows[] / relationships[]</t>
  </si>
  <si>
    <t>读取 Excel 分区字段、校验必填/枚举并建立稳定关系键</t>
  </si>
  <si>
    <t>src/omnia-phase1.js:656-768</t>
  </si>
  <si>
    <t>字段导入</t>
  </si>
  <si>
    <t>精确 route、payload、read-back 或明确源码合同</t>
  </si>
  <si>
    <t>用户值仅运行时提取</t>
  </si>
  <si>
    <t>EV.P1.DERIVE</t>
  </si>
  <si>
    <t>名称/描述派生</t>
  </si>
  <si>
    <t>phase1OfficialDerivedValues</t>
  </si>
  <si>
    <t>graName=GRA-{id}; description=id</t>
  </si>
  <si>
    <t>固定派生，不要求用户重复维护</t>
  </si>
  <si>
    <t>src/domains/omnia/phase1/template-contract.js:98-105</t>
  </si>
  <si>
    <t>IT Element/GRA</t>
  </si>
  <si>
    <t>EV.P1.PAGE_FETCH</t>
  </si>
  <si>
    <t>浏览器会话内 API</t>
  </si>
  <si>
    <t>page.evaluate(fetch)</t>
  </si>
  <si>
    <t>credentials=include; captured authorization; JSON response</t>
  </si>
  <si>
    <t>GET/POST/PATCH 均通过绑定 Omnia 页面会话执行</t>
  </si>
  <si>
    <t>toolkit/tools/gra-creator/src/app.js:1340-1420</t>
  </si>
  <si>
    <t>所有 Phase1 API</t>
  </si>
  <si>
    <t>不是 DOM 表单写入</t>
  </si>
  <si>
    <t>EV.P1.CREATE_ELEMENT</t>
  </si>
  <si>
    <t>新建 IT Element</t>
  </si>
  <si>
    <t>name, workspaceId, engagementId, number, description/itElementType/typeId；response.id</t>
  </si>
  <si>
    <t>createOneGra</t>
  </si>
  <si>
    <t>toolkit/tools/gra-creator/src/app.js:4808-4825</t>
  </si>
  <si>
    <t>APP/DB/OS/Tool</t>
  </si>
  <si>
    <t>Tool 分支不含 description</t>
  </si>
  <si>
    <t>EV.P1.EDIT_SETTINGS</t>
  </si>
  <si>
    <t>编辑 IT Element 设置</t>
  </si>
  <si>
    <t>JSON Patch /typeId,/isRelevant,/isDataAvailable + concurrency</t>
  </si>
  <si>
    <t>创建后设置</t>
  </si>
  <si>
    <t>toolkit/tools/gra-creator/src/it-element-settings.js:1-14; toolkit/tools/gra-creator/src/app.js:4867-4883</t>
  </si>
  <si>
    <t>APP/DB/OS</t>
  </si>
  <si>
    <t>Tool 不适用</t>
  </si>
  <si>
    <t>EV.P1.ASSOC_INFRA_APP</t>
  </si>
  <si>
    <t>关联 Infrastructure-Application</t>
  </si>
  <si>
    <t>POST .../itelement/associate</t>
  </si>
  <si>
    <t>ItElementId, AssociatingEntityIds[], associationType=InfrastructureApplication, ConcurrencyTabId=602；双向搜索回读</t>
  </si>
  <si>
    <t>基础设施 GRA 创建前</t>
  </si>
  <si>
    <t>DB/OS 与 APP</t>
  </si>
  <si>
    <t>EV.P1.ASSOC_TOOL</t>
  </si>
  <si>
    <t>关联 Tool-Element</t>
  </si>
  <si>
    <t>associationType=ItToolApplication/ItToolInfrastructure; concurrency 802/803；回读</t>
  </si>
  <si>
    <t>Tool 后处理</t>
  </si>
  <si>
    <t>Tool 与 APP/Infrastructure</t>
  </si>
  <si>
    <t>EV.P1.CREATE_GRA</t>
  </si>
  <si>
    <t>新建 GRA</t>
  </si>
  <si>
    <t>inkContentId,typeId,facetId,entityId,name；response id/workItemId/referenceNumber</t>
  </si>
  <si>
    <t>EV.P1.RENAME_GRA</t>
  </si>
  <si>
    <t>编辑 GRA 名称</t>
  </si>
  <si>
    <t>PATCH .../riskassessments/{id}</t>
  </si>
  <si>
    <t>JSON Patch /name</t>
  </si>
  <si>
    <t>创建内容后</t>
  </si>
  <si>
    <t>toolkit/tools/gra-creator/src/app.js:4960-4965</t>
  </si>
  <si>
    <t>EV.P1.RISK_FACTORS</t>
  </si>
  <si>
    <t>读取/编辑 Risk Factors</t>
  </si>
  <si>
    <t>GET .../risk-factors/byRiskAssessmentId/{id}; PATCH categories/factors/{id}</t>
  </si>
  <si>
    <t>riskFactors[]; /applicable=true; /riskLevel</t>
  </si>
  <si>
    <t>GRA 评价</t>
  </si>
  <si>
    <t>toolkit/tools/gra-creator/src/app.js:4968-4996</t>
  </si>
  <si>
    <t>Risk factors</t>
  </si>
  <si>
    <t>EV.P1.RAIT</t>
  </si>
  <si>
    <t>编辑并回读 RAIT</t>
  </si>
  <si>
    <t>PATCH + GET .../riskassessments/{id}</t>
  </si>
  <si>
    <t>JSON Patch /status=EvaluationStarted,/itElementRaitConclusionLevelId；GET read-back</t>
  </si>
  <si>
    <t>toolkit/tools/gra-creator/src/app.js:4999-5023</t>
  </si>
  <si>
    <t>RAIT</t>
  </si>
  <si>
    <t>EV.P1.SUBMIT</t>
  </si>
  <si>
    <t>提交评价</t>
  </si>
  <si>
    <t>POST .../submit-riskfactor-evaluation?skipValidation=false</t>
  </si>
  <si>
    <t>riskLevelOverride,isPurgeControlHiddenData,updateQM,accountContents；poll status=EvaluationComplete</t>
  </si>
  <si>
    <t>EV.P1.READ_CATALOG</t>
  </si>
  <si>
    <t>读取 Risk/Control 目录</t>
  </si>
  <si>
    <t>GET plannedresponse/byRiskAssessmentId；GET controls/byRiskAssessmentId</t>
  </si>
  <si>
    <t>plannedResponses[]; controls[]</t>
  </si>
  <si>
    <t>Risk-Control 后处理</t>
  </si>
  <si>
    <t>toolkit/tools/gra-creator/src/app.js:3199-3251,3354-3400</t>
  </si>
  <si>
    <t>Risk/Control</t>
  </si>
  <si>
    <t>EV.P1.RISK_CLASS</t>
  </si>
  <si>
    <t>设置 Risk 分类</t>
  </si>
  <si>
    <t>PATCH /rapr/v0/engagements/{engagementId}/risks/{risk.id}</t>
  </si>
  <si>
    <t>JSON Patch /classificationType with optional /updatedOn test</t>
  </si>
  <si>
    <t>Risk 后处理</t>
  </si>
  <si>
    <t>toolkit/tools/gra-creator/src/app.js:5134-5145</t>
  </si>
  <si>
    <t>EV.P1.LINK_VALIDATE</t>
  </si>
  <si>
    <t>Risk-Control 关联预检</t>
  </si>
  <si>
    <t>POST .../controls/validateHiddenDataForRiskAssociation</t>
  </si>
  <si>
    <t>riskId, operation=AddAssociation, controlIds[]</t>
  </si>
  <si>
    <t>associateGraControlLinks</t>
  </si>
  <si>
    <t>toolkit/tools/gra-creator/src/app.js:3797-3813</t>
  </si>
  <si>
    <t>Risk-Control</t>
  </si>
  <si>
    <t>purgeHiddenData 受响应约束</t>
  </si>
  <si>
    <t>EV.P1.LINK_WRITE</t>
  </si>
  <si>
    <t>Risk-Control 建立关联</t>
  </si>
  <si>
    <t>POST .../controls/controlrisks/associate</t>
  </si>
  <si>
    <t>controlRiskScopes[{controlId,riskScopeId,assertionType,riskId,assertions[]}],riskId,updatedOn,isPurgeControlHiddenData</t>
  </si>
  <si>
    <t>toolkit/tools/gra-creator/src/app.js:3814-3854</t>
  </si>
  <si>
    <t>写后轮询 detail 验证</t>
  </si>
  <si>
    <t>EV.P1.CONNECTOR_READ</t>
  </si>
  <si>
    <t>Connector 只读接口</t>
  </si>
  <si>
    <t>connector</t>
  </si>
  <si>
    <t>engagement.inspect / controls-directory / association.preflight</t>
  </si>
  <si>
    <t>输入 schema 与 handler 映射</t>
  </si>
  <si>
    <t>Connector toolkit</t>
  </si>
  <si>
    <t>connector/src/toolkit-modules/audit-risk.js:9-29,70-100,207-224</t>
  </si>
  <si>
    <t>目录/预检</t>
  </si>
  <si>
    <t>effect=read</t>
  </si>
  <si>
    <t>EV.P1.DELETE_GRA</t>
  </si>
  <si>
    <t>删除 GRA</t>
  </si>
  <si>
    <t>PATCH .../riskassessments/{id}/softdelete</t>
  </si>
  <si>
    <t>无通用 body；白名单路由并回读回收站状态</t>
  </si>
  <si>
    <t>Gateway delete workflow</t>
  </si>
  <si>
    <t>connector/src/omnia-gateway.js:47-55,5392-5410</t>
  </si>
  <si>
    <t>GRA 删除</t>
  </si>
  <si>
    <t>独立删除合同</t>
  </si>
  <si>
    <t>EV.P1.DELETE_ELEMENT</t>
  </si>
  <si>
    <t>删除 IT Element</t>
  </si>
  <si>
    <t>PATCH .../itelement/{id}/softdelete</t>
  </si>
  <si>
    <t>按 APP/DB/OS/Tool 独立授权；依赖预检/必要时 disassociate</t>
  </si>
  <si>
    <t>connector/src/omnia-gateway.js:53-80,4156,4449,4500</t>
  </si>
  <si>
    <t>IT Element 删除</t>
  </si>
  <si>
    <t>软删除</t>
  </si>
  <si>
    <t>EV.P1.RECORD_NETWORK</t>
  </si>
  <si>
    <t>录制网络合同</t>
  </si>
  <si>
    <t>recording</t>
  </si>
  <si>
    <t>CDP Network.requestWillBeSent/responseReceived/getResponseBody</t>
  </si>
  <si>
    <t>method,url,requestBody,responseBody；过滤敏感头和值</t>
  </si>
  <si>
    <t>Omnia Recorder</t>
  </si>
  <si>
    <t>connector/src/omnia-recorder.js:1042-1085,1088-1264</t>
  </si>
  <si>
    <t>API 契约录制</t>
  </si>
  <si>
    <t>录全量目录+代表性关联</t>
  </si>
  <si>
    <t>EV.P1.RECORD_DOM</t>
  </si>
  <si>
    <t>录制 DOM 交互</t>
  </si>
  <si>
    <t>dom</t>
  </si>
  <si>
    <t>通用 nth-of-type selector（最多 5 层）</t>
  </si>
  <si>
    <t>action,selector,tag,type,role,ariaLabel,buttonLabel；敏感输入不记录</t>
  </si>
  <si>
    <t>Omnia Recorder interaction instrumentation</t>
  </si>
  <si>
    <t>connector/src/omnia-recorder.js:47-130</t>
  </si>
  <si>
    <t>DOM 交互证据</t>
  </si>
  <si>
    <t>不是字段级稳定 selector；字段映射不得伪装成 DOM</t>
  </si>
  <si>
    <t>规则与枚举</t>
  </si>
  <si>
    <t>默认值、允许值、必填逻辑和回退策略集中治理；字段母版仅呈现字段级结果，若冲突以本表经确认规则为准。</t>
  </si>
  <si>
    <t>rule_id</t>
  </si>
  <si>
    <t>治理键</t>
  </si>
  <si>
    <t>规则类型</t>
  </si>
  <si>
    <t>适用字段/对象</t>
  </si>
  <si>
    <t>默认/枚举/逻辑</t>
  </si>
  <si>
    <t>无资料时回退/阻断策略</t>
  </si>
  <si>
    <t>依据</t>
  </si>
  <si>
    <t>RULE.P1.RUNTIME.USER_VALUES</t>
  </si>
  <si>
    <t>runtime.user_values</t>
  </si>
  <si>
    <t>职责边界</t>
  </si>
  <si>
    <t>所有用户实际值</t>
  </si>
  <si>
    <t>仅在运行时由 Agent 从用户上传资料提取；母版不维护实际用户值</t>
  </si>
  <si>
    <t>无资料时按字段规则默认/回退；无策略则阻断</t>
  </si>
  <si>
    <t>用户判断</t>
  </si>
  <si>
    <t>已确认</t>
  </si>
  <si>
    <t>RULE.P1.APP.SUBTYPE</t>
  </si>
  <si>
    <t>APP.subtype</t>
  </si>
  <si>
    <t>枚举</t>
  </si>
  <si>
    <t>APP 类型</t>
  </si>
  <si>
    <t>Generic|SAP ECC</t>
  </si>
  <si>
    <t>SAP ECC 执行阻断，不得降级为 Generic</t>
  </si>
  <si>
    <t>src/omnia-phase1.js:1048-1061</t>
  </si>
  <si>
    <t>RULE.P1.DB.SUBTYPE</t>
  </si>
  <si>
    <t>DB.subtype</t>
  </si>
  <si>
    <t>DB 类型</t>
  </si>
  <si>
    <t>无匹配则阻断</t>
  </si>
  <si>
    <t>src/domains/omnia/phase1/template-contract.js:27-35</t>
  </si>
  <si>
    <t>RULE.P1.OS.SUBTYPE</t>
  </si>
  <si>
    <t>OS.subtype</t>
  </si>
  <si>
    <t>OS 类型</t>
  </si>
  <si>
    <t>src/domains/omnia/phase1/template-contract.js:37-45</t>
  </si>
  <si>
    <t>RULE.P1.TOOL.SUBTYPE</t>
  </si>
  <si>
    <t>TOOL.subtype</t>
  </si>
  <si>
    <t>Tool 类型</t>
  </si>
  <si>
    <t>无录制合同则阻断</t>
  </si>
  <si>
    <t>RULE.P1.RAIT</t>
  </si>
  <si>
    <t>GRA.rait</t>
  </si>
  <si>
    <t>APP/Tool RAIT</t>
  </si>
  <si>
    <t>缺失/非法则阻断</t>
  </si>
  <si>
    <t>src/omnia-phase1.js:701-708</t>
  </si>
  <si>
    <t>RULE.P1.INFRA.RAIT</t>
  </si>
  <si>
    <t>INFRA.rait</t>
  </si>
  <si>
    <t>DB/OS RAIT</t>
  </si>
  <si>
    <t>从所有关联 APP 的真实 GRA 回读继承且必须一致</t>
  </si>
  <si>
    <t>缺关联、不可读或不一致则阻断</t>
  </si>
  <si>
    <t>src/omnia-phase1.js:1026-1045</t>
  </si>
  <si>
    <t>RULE.P1.GRA.NAME</t>
  </si>
  <si>
    <t>GRA.name</t>
  </si>
  <si>
    <t>GRA 名称</t>
  </si>
  <si>
    <t>重名则阻断</t>
  </si>
  <si>
    <t>RULE.P1.ELEMENT.NAME</t>
  </si>
  <si>
    <t>ITElement.name</t>
  </si>
  <si>
    <t>元素名称</t>
  </si>
  <si>
    <t>与元素ID一致</t>
  </si>
  <si>
    <t>ID缺失则阻断</t>
  </si>
  <si>
    <t>RULE.P1.ELEMENT.RELEVANCE</t>
  </si>
  <si>
    <t>ITElement.isRelevant</t>
  </si>
  <si>
    <t>FALSE/不相关</t>
  </si>
  <si>
    <t>非 Tool；PATCH 后回读</t>
  </si>
  <si>
    <t>toolkit/tools/gra-creator/src/it-element-settings.js:1-14</t>
  </si>
  <si>
    <t>RULE.P1.ELEMENT.DATA</t>
  </si>
  <si>
    <t>ITElement.isDataAvailable</t>
  </si>
  <si>
    <t>数据可用性</t>
  </si>
  <si>
    <t>FALSE</t>
  </si>
  <si>
    <t>原表业务文字“开启”与 API 字段语义不等同，待业务确认</t>
  </si>
  <si>
    <t>RULE.P1.DETAIL.CHANGE</t>
  </si>
  <si>
    <t>ITElement.detail.majorChange</t>
  </si>
  <si>
    <t>本年度重大修改</t>
  </si>
  <si>
    <t>v4 未发现字段级 API/DOM 映射</t>
  </si>
  <si>
    <t>原表</t>
  </si>
  <si>
    <t>RULE.P1.DETAIL.SERVICE</t>
  </si>
  <si>
    <t>ITElement.detail.serviceOrg</t>
  </si>
  <si>
    <t>服务机构支持</t>
  </si>
  <si>
    <t>RULE.P1.DETAIL.TOOL</t>
  </si>
  <si>
    <t>ITElement.detail.auditTool</t>
  </si>
  <si>
    <t>拟使用审计工具</t>
  </si>
  <si>
    <t>RULE.P1.RISK.CLASS</t>
  </si>
  <si>
    <t>Risk.classification</t>
  </si>
  <si>
    <t>分类</t>
  </si>
  <si>
    <t>Risk Higher/Lower</t>
  </si>
  <si>
    <t>与RAIT一致 =&gt; Higher/Lower；分类不适用 =&gt; ClassificationNA</t>
  </si>
  <si>
    <t>无已验证映射则阻断</t>
  </si>
  <si>
    <t>src/omnia-phase1.js:1723-1812</t>
  </si>
  <si>
    <t>RULE.P1.CONTROL.CATALOG</t>
  </si>
  <si>
    <t>Control.catalog</t>
  </si>
  <si>
    <t>目录</t>
  </si>
  <si>
    <t>Control 目录存在</t>
  </si>
  <si>
    <t>catalog_present_higher/lower</t>
  </si>
  <si>
    <t>只表示 Omnia 目录存在，不等于 Agent 应关联</t>
  </si>
  <si>
    <t>用户原表 风险评估</t>
  </si>
  <si>
    <t>RULE.P1.CONTROL.LINK</t>
  </si>
  <si>
    <t>Control.link</t>
  </si>
  <si>
    <t>关联</t>
  </si>
  <si>
    <t>Agent 应建立关联</t>
  </si>
  <si>
    <t>link_required_higher/lower</t>
  </si>
  <si>
    <t>按 RAIT 筛选；目录缺失/端点缺失则阻断</t>
  </si>
  <si>
    <t>toolkit/tools/gra-creator/src/app.js:3700-3865</t>
  </si>
  <si>
    <t>RULE.P1.DB07</t>
  </si>
  <si>
    <t>Control.DB.07</t>
  </si>
  <si>
    <t>禁止</t>
  </si>
  <si>
    <t>DB.07</t>
  </si>
  <si>
    <t>不得出现在 ControlLink 计划</t>
  </si>
  <si>
    <t>出现则写入前停止</t>
  </si>
  <si>
    <t>src/omnia-phase1.js:1749-1763</t>
  </si>
  <si>
    <t>覆盖与质检｜公式驱动</t>
  </si>
  <si>
    <t>必填且来自上传资料、无默认值是合法策略；只有既无默认/回退又无明确上传/派生/继承/默认/自动策略时才报错。</t>
  </si>
  <si>
    <t>指标</t>
  </si>
  <si>
    <t>公式结果</t>
  </si>
  <si>
    <t>证据状态</t>
  </si>
  <si>
    <t>字段数</t>
  </si>
  <si>
    <t>已映射源字段项</t>
  </si>
  <si>
    <t>已确认-中</t>
  </si>
  <si>
    <t>源字段覆盖率</t>
  </si>
  <si>
    <t>已确认-弱</t>
  </si>
  <si>
    <t>规范化字段数</t>
  </si>
  <si>
    <t>Risk-Control 关系数</t>
  </si>
  <si>
    <t>已确认强证据链</t>
  </si>
  <si>
    <t>待确认/部分/阻断字段</t>
  </si>
  <si>
    <t>源字段覆盖缺口</t>
  </si>
  <si>
    <t>trace_item_id</t>
  </si>
  <si>
    <t>源位置</t>
  </si>
  <si>
    <t>源字段</t>
  </si>
  <si>
    <t>问题</t>
  </si>
  <si>
    <t>重复 field_id</t>
  </si>
  <si>
    <t>对象类型</t>
  </si>
  <si>
    <t>字段名</t>
  </si>
  <si>
    <t>必填策略缺失</t>
  </si>
  <si>
    <t>字段映射证据缺口</t>
  </si>
  <si>
    <t>默认/枚举冲突</t>
  </si>
  <si>
    <t>规则值</t>
  </si>
  <si>
    <t>Risk-Control 关系质检</t>
  </si>
  <si>
    <t>端点</t>
  </si>
  <si>
    <t>执行层级</t>
  </si>
  <si>
    <t>孤立 Risk / Control</t>
  </si>
  <si>
    <t>类型</t>
  </si>
  <si>
    <t>标准名</t>
  </si>
  <si>
    <t>问题/提示</t>
  </si>
  <si>
    <t>原始字段追溯</t>
  </si>
  <si>
    <t>每个正式源字段项映射到一个 master_field_id；同一原始行同时含 Risk 与 Control 时拆成两条追溯项，不用逗号列表。结构行也保留以便审计。</t>
  </si>
  <si>
    <t>source_file</t>
  </si>
  <si>
    <t>source_sheet</t>
  </si>
  <si>
    <t>source_row</t>
  </si>
  <si>
    <t>行角色</t>
  </si>
  <si>
    <t>源对象类型</t>
  </si>
  <si>
    <t>源区段/子类型</t>
  </si>
  <si>
    <t>源字段/编号</t>
  </si>
  <si>
    <t>原始描述/汇总</t>
  </si>
  <si>
    <t>原始填写方式/评估</t>
  </si>
  <si>
    <t>原始示例/关系</t>
  </si>
  <si>
    <t>原始Higher/非AI校验</t>
  </si>
  <si>
    <t>原始Lower/AI校验</t>
  </si>
  <si>
    <t>master_field_id</t>
  </si>
  <si>
    <t>追溯状态</t>
  </si>
  <si>
    <t>SRC.IT元素.001</t>
  </si>
  <si>
    <t>omnia agent字段对照文档-补全.xlsx</t>
  </si>
  <si>
    <t>IT元素</t>
  </si>
  <si>
    <t>结构/说明</t>
  </si>
  <si>
    <t>原始文本逐项保留；未改变原意。</t>
  </si>
  <si>
    <t>SRC.IT元素.002</t>
  </si>
  <si>
    <t>名称以中文版Omnia显示的字段优先</t>
  </si>
  <si>
    <t>SRC.IT元素.003</t>
  </si>
  <si>
    <t>以用户首次创建元素，由上到下，由左到右依次记录</t>
  </si>
  <si>
    <t>SRC.IT元素.005</t>
  </si>
  <si>
    <t>应用程序</t>
  </si>
  <si>
    <t>SRC.IT元素.006</t>
  </si>
  <si>
    <t>Key</t>
  </si>
  <si>
    <t>填写方式</t>
  </si>
  <si>
    <t>示例/默认值</t>
  </si>
  <si>
    <t>校验内容（非AI）</t>
  </si>
  <si>
    <t>校验内容（AI）</t>
  </si>
  <si>
    <t>字段</t>
  </si>
  <si>
    <t>用户必填</t>
  </si>
  <si>
    <t>1、是否填写
2、是否与其他活跃元素重名
3、是否与其他回收站内元素重名</t>
  </si>
  <si>
    <t>1、与之后的risk判断因素中描述的内容是否一致</t>
  </si>
  <si>
    <t>已映射</t>
  </si>
  <si>
    <t>agent代填</t>
  </si>
  <si>
    <t>1、工作区填写是否正确</t>
  </si>
  <si>
    <t>1、若存在与APP名称相似的工作区，可校验ID与工作区是否存在疑似冲突</t>
  </si>
  <si>
    <t>SRC.IT元素.019</t>
  </si>
  <si>
    <t>基础设施（数据库 / DB）</t>
  </si>
  <si>
    <t>SRC.IT元素.020</t>
  </si>
  <si>
    <t>1、若存在与名称相似的工作区，可校验ID与工作区是否存在疑似冲突</t>
  </si>
  <si>
    <t>SRC.IT元素.033</t>
  </si>
  <si>
    <t>基础设施（操作系统 / OS）</t>
  </si>
  <si>
    <t>SRC.IT元素.034</t>
  </si>
  <si>
    <t>SRC.IT元素.048</t>
  </si>
  <si>
    <t>工具</t>
  </si>
  <si>
    <t>SRC.IT元素.049</t>
  </si>
  <si>
    <t>二选一</t>
  </si>
  <si>
    <t>SRC.GRA.001</t>
  </si>
  <si>
    <t>SRC.GRA.002</t>
  </si>
  <si>
    <t>风险评估指导(GRA)设置</t>
  </si>
  <si>
    <t>SRC.GRA.003</t>
  </si>
  <si>
    <t>1、Generic（当前唯一已验证并可执行的APP创建链）
2、SAP ECC（官方V2可解析，但当前推送阻断：缺少已验证的专用创建内容契约）
SAP S/4HANA、Oracle电子商务套件及其他Omnia内容类型当前不属于Agent v4官方输入合同；不得降级按Generic创建。</t>
  </si>
  <si>
    <t>1、是否填写
2、是否为当前官方输入合同允许值
3、SAP ECC是否在推送前被明确阻断</t>
  </si>
  <si>
    <t>1、若ID或说明包含SAP，提示专用创建链当前未验证，不能误按Generic创建</t>
  </si>
  <si>
    <t>SRC.GRA.007</t>
  </si>
  <si>
    <t>风险因素评价</t>
  </si>
  <si>
    <t>SRC.GRA.008</t>
  </si>
  <si>
    <t>1、是否填写
2、长度及字段合法性</t>
  </si>
  <si>
    <t>1、与系统ID是否一致
2、与Higher/Lower结论是否逻辑一致
3、仅提示warning，不替用户改写</t>
  </si>
  <si>
    <t>SRC.GRA.015</t>
  </si>
  <si>
    <t>SRC.GRA.016</t>
  </si>
  <si>
    <t>SRC.GRA.017</t>
  </si>
  <si>
    <t>agent映射</t>
  </si>
  <si>
    <t>SRC.GRA.021</t>
  </si>
  <si>
    <t>SRC.GRA.022</t>
  </si>
  <si>
    <t>创建时开启IT风险评估；Risk/Control计划来自对应DB子类型的已验证参考模板</t>
  </si>
  <si>
    <t>agent继承</t>
  </si>
  <si>
    <t>SRC.GRA.030</t>
  </si>
  <si>
    <t>SRC.GRA.031</t>
  </si>
  <si>
    <t>SRC.GRA.032</t>
  </si>
  <si>
    <t>SRC.GRA.036</t>
  </si>
  <si>
    <t>SRC.GRA.037</t>
  </si>
  <si>
    <t>创建时开启IT风险评估；Risk/Control计划来自对应OS子类型的已验证参考模板</t>
  </si>
  <si>
    <t>SRC.GRA.045</t>
  </si>
  <si>
    <t>工具（IT Tool）</t>
  </si>
  <si>
    <t>SRC.GRA.046</t>
  </si>
  <si>
    <t>SRC.GRA.047</t>
  </si>
  <si>
    <t>SRC.GRA.051</t>
  </si>
  <si>
    <t>SRC.GRA.052</t>
  </si>
  <si>
    <t>创建时开启IT风险评估；Tool不生成APP式风险因素填写表</t>
  </si>
  <si>
    <t>RAIT结论文件记录</t>
  </si>
  <si>
    <t>官方V2 Tool分区不提供Factors Considered或文件记录输入列</t>
  </si>
  <si>
    <t>不填写</t>
  </si>
  <si>
    <t>当前不作为Agent v4输入字段</t>
  </si>
  <si>
    <t>1、不得把不存在的Tool文件记录伪装为已填写</t>
  </si>
  <si>
    <t>SRC.风险评估.001</t>
  </si>
  <si>
    <t>风险评估</t>
  </si>
  <si>
    <t>标题/表头/说明行。</t>
  </si>
  <si>
    <t>SRC.风险评估.002</t>
  </si>
  <si>
    <t>通用应用程序</t>
  </si>
  <si>
    <t>SRC.风险评估.003</t>
  </si>
  <si>
    <t>已识别的风险</t>
  </si>
  <si>
    <t>SRC.风险评估.004</t>
  </si>
  <si>
    <t>编号</t>
  </si>
  <si>
    <t>评估</t>
  </si>
  <si>
    <t>RAITCOR001</t>
  </si>
  <si>
    <t>通用应用程序 - 用户拥有的访问权限超出了执行分配的职责所必需的权限，这可能导致职责分离不当。</t>
  </si>
  <si>
    <t>与RAIT一致</t>
  </si>
  <si>
    <t>原始 Risk/Control 文字与 Higher/Lower 标记逐项保留。</t>
  </si>
  <si>
    <t>APP.01</t>
  </si>
  <si>
    <t>管理层批准新用户及变更的用户访问权限的性质与范围，包括标准的应用系统用户组/角色、关键财务报告交易和职责分离。</t>
  </si>
  <si>
    <t>关联 Risk=RAITCOR001</t>
  </si>
  <si>
    <t>APP.02</t>
  </si>
  <si>
    <t>及时删除或修改已离职和/或调职用户的访问权限。</t>
  </si>
  <si>
    <t>APP.03</t>
  </si>
  <si>
    <t>定期复核用户访问权限。</t>
  </si>
  <si>
    <t>APP.06</t>
  </si>
  <si>
    <t>特权级别访问 (例如安全管理员) 已获得授权并受到适当限制。</t>
  </si>
  <si>
    <t>RAITCOR002</t>
  </si>
  <si>
    <t>通用应用程序 - 通过应用系统层面操作以外的其他方式直接对财务数据进行不适当的更改。</t>
  </si>
  <si>
    <t>分类不适用</t>
  </si>
  <si>
    <t>RAITCOR003</t>
  </si>
  <si>
    <t>通用应用程序 - 系统配置或更新不足，无法限制正确授权和适当的用户访问系统。</t>
  </si>
  <si>
    <t>APP.05</t>
  </si>
  <si>
    <t>通过唯一的用户 ID 和密码或其他方法进行身份验证，以此作为验证用户是否有权访问系统的机制。密码参数符合公司和 / 或行业标准 (例如 密码最短长度和复杂度，密码自动过期，账号锁定)。</t>
  </si>
  <si>
    <t>关联 Risk=RAITCOR003</t>
  </si>
  <si>
    <t>RAITCOR004</t>
  </si>
  <si>
    <t>通用应用程序 - 对包含相关自动控制 (即可配置设置，自动算法，自动计算和自动数据提取) 和 / 或报告逻辑的应用系统或程序进行了不适当的变更。</t>
  </si>
  <si>
    <t>APP.10</t>
  </si>
  <si>
    <t>在将应用程序变更移至生产环境之前，应对其进行适当的测试和批准。</t>
  </si>
  <si>
    <t>关联 Risk=RAITCOR004</t>
  </si>
  <si>
    <t>APP.13</t>
  </si>
  <si>
    <t>对应用程序生产环境进行变更的访问受到适当限制，并与开发环境隔离。</t>
  </si>
  <si>
    <t>RAITCOR007</t>
  </si>
  <si>
    <t>通用应用程序 - 在从旧系统或以前版本的系统转换数据时，由于转换传输的数据不完整、冗余、过时或不准确导致传输数据错误。</t>
  </si>
  <si>
    <t>RAITCOR010</t>
  </si>
  <si>
    <t>通用应用程序 - 当数据丢失时，无法及时恢复或访问财务数据。</t>
  </si>
  <si>
    <t>DCNO.17</t>
  </si>
  <si>
    <t>财务数据定期根据既定的时间表和频率进行备份。</t>
  </si>
  <si>
    <t>关联 Risk=RAITCOR010</t>
  </si>
  <si>
    <t>RAITCOR011</t>
  </si>
  <si>
    <t>通用应用程序 - 生产系统，程序和 / 或系统任务会导致数据处理不准确，不完整或对数据未经授权的处理。</t>
  </si>
  <si>
    <t>APP.15</t>
  </si>
  <si>
    <t>只有授权用户才有权变更定时任务调度软件中的批处理任务 (包括接口任务)。</t>
  </si>
  <si>
    <t>关联 Risk=RAITCOR011</t>
  </si>
  <si>
    <t>APP.16</t>
  </si>
  <si>
    <t>监控关键系统，程序和 / 或任务，并纠正处理错误以确保其成功完成。</t>
  </si>
  <si>
    <t>SRC.风险评估.018</t>
  </si>
  <si>
    <t>SRC.风险评估.019</t>
  </si>
  <si>
    <t>SAP ECC</t>
  </si>
  <si>
    <t>SAP ECC（内部参考模板已收录；Agent v4当前推送阻断，不会降级按Generic创建）</t>
  </si>
  <si>
    <t>SRC.风险评估.020</t>
  </si>
  <si>
    <t>SRC.风险评估.021</t>
  </si>
  <si>
    <t>SAP ECC - 生产系统、程序和/或系统任务会导致数据处理不准确、不完整或未经授权。</t>
  </si>
  <si>
    <t>SAP.15</t>
  </si>
  <si>
    <t>只有授权用户有权变更SAP批处理任务（包括接口任务）。</t>
  </si>
  <si>
    <t>SAP.27</t>
  </si>
  <si>
    <t>监控IDOC并及时解决问题；IDOC变更权限按岗位职责适当授予。</t>
  </si>
  <si>
    <t>SAP.16</t>
  </si>
  <si>
    <t>监控SAP关键任务，并纠正处理错误以确保成功完成。</t>
  </si>
  <si>
    <t>SAP ECC - 用户拥有的访问权限超出了执行分配的职责所必需的权限，这可能导致职责分离不当。</t>
  </si>
  <si>
    <t>SAP.01</t>
  </si>
  <si>
    <t>管理层批准SAP新用户及变更用户访问权限的性质与范围，包括角色、关键交易及职责分离。</t>
  </si>
  <si>
    <t>SAP.02</t>
  </si>
  <si>
    <t>及时删除或修改已离职和/或调职用户的SAP访问权限。</t>
  </si>
  <si>
    <t>SAP.03</t>
  </si>
  <si>
    <t>定期复核SAP用户访问权限。</t>
  </si>
  <si>
    <t>SAP.06</t>
  </si>
  <si>
    <t>SAP安全管理功能的访问已获授权并受到适当限制。</t>
  </si>
  <si>
    <t>SAP.07</t>
  </si>
  <si>
    <t>表更新权限按业务需要限制，并限定到职责所需的具体表。</t>
  </si>
  <si>
    <t>SAP.11</t>
  </si>
  <si>
    <t>修改密码参数的权限按岗位职责适当授予。</t>
  </si>
  <si>
    <t>SAP.17</t>
  </si>
  <si>
    <t>用户仅可按岗位职责执行所需程序，不授予全部事务代码权限。</t>
  </si>
  <si>
    <t>SAP.18</t>
  </si>
  <si>
    <t>SAP_ALL和SAP_NEW等强大配置文件受到适当保护。</t>
  </si>
  <si>
    <t>SAP.19</t>
  </si>
  <si>
    <t>SAP供应商远程维护访问受到限制、经管理层批准并及时移除。</t>
  </si>
  <si>
    <t>SAP ECC - 系统配置或更新不足，无法限制正确授权和适当的用户访问系统。</t>
  </si>
  <si>
    <t>SAP.05</t>
  </si>
  <si>
    <t>通过唯一用户ID、密码或其他方法进行身份验证；SAP密码参数符合公司和/或行业标准。</t>
  </si>
  <si>
    <t>SAP.09</t>
  </si>
  <si>
    <t>所有客户端中的SAP标准ID默认密码均已修改并得到适当保护。</t>
  </si>
  <si>
    <t>SAP ECC - 对包含相关自动控制或报告逻辑的应用系统或程序进行了不适当的变更。</t>
  </si>
  <si>
    <t>SAP.10</t>
  </si>
  <si>
    <t>SAP应用变更移至生产环境前经过适当测试和批准。</t>
  </si>
  <si>
    <t>SAP.13</t>
  </si>
  <si>
    <t>SAP生产环境变更访问受到适当限制，并与开发环境隔离。</t>
  </si>
  <si>
    <t>SAP.23</t>
  </si>
  <si>
    <t>生产客户端和系统设置禁止直接变更；设置变更被记录、监控并经管理层批准。</t>
  </si>
  <si>
    <t>SAP.26</t>
  </si>
  <si>
    <t>生产环境不永久授予调试权限。</t>
  </si>
  <si>
    <t>SAP ECC - 从旧系统或以前版本转换数据时，因数据不完整、冗余、过时或不准确导致转换错误。</t>
  </si>
  <si>
    <t>SRC.风险评估.043</t>
  </si>
  <si>
    <t>基础设施 / DB</t>
  </si>
  <si>
    <t>SRC.风险评估.044</t>
  </si>
  <si>
    <t>通用数据库</t>
  </si>
  <si>
    <t>SRC.风险评估.045</t>
  </si>
  <si>
    <t>SRC.风险评估.046</t>
  </si>
  <si>
    <t>通用数据库 - 用户拥有的访问权限超出了执行分配的职责所必需的权限，这可能导致职责分离不当。</t>
  </si>
  <si>
    <t>DB.06</t>
  </si>
  <si>
    <t>数据库特权级别访问（配置、数据及安全管理员）已获授权并受到适当限制。</t>
  </si>
  <si>
    <t>通用数据库 - 通过应用系统层面操作以外的其他方式直接对财务数据进行不适当的更改。</t>
  </si>
  <si>
    <t>与RAIT一致（当前不生成控制关联）</t>
  </si>
  <si>
    <t>通用数据库 - 系统配置或更新不足，无法限制正确授权和适当的用户访问系统。</t>
  </si>
  <si>
    <t>DB.05</t>
  </si>
  <si>
    <t>通过唯一用户ID、密码或其他方法进行身份验证；数据库密码参数符合公司和/或行业标准。</t>
  </si>
  <si>
    <t>DB.09</t>
  </si>
  <si>
    <t>数据库安全配置的关键属性已得到适当实施。</t>
  </si>
  <si>
    <t>RAITCOR005</t>
  </si>
  <si>
    <t>通用数据库 - 对数据库结构以及数据之间的关系进行了不适当的变更。</t>
  </si>
  <si>
    <t>DB.10</t>
  </si>
  <si>
    <t>数据库变更移至生产环境前经过适当测试和批准。</t>
  </si>
  <si>
    <t>关联 Risk=RAITCOR005</t>
  </si>
  <si>
    <t>通用数据库 - 生产系统、程序和/或系统任务会导致数据处理不准确、不完整或未经授权。</t>
  </si>
  <si>
    <t>DB.15</t>
  </si>
  <si>
    <t>只有授权人员可以创建或变更数据库中的计划任务。</t>
  </si>
  <si>
    <t>DB.16</t>
  </si>
  <si>
    <t>监控关键数据库任务，并纠正处理错误以确保成功完成。</t>
  </si>
  <si>
    <t>通用数据库 - 从旧系统或以前版本转换数据时，因数据不完整、冗余、过时或不准确导致转换错误。</t>
  </si>
  <si>
    <t>SRC.风险评估.057</t>
  </si>
  <si>
    <t>SRC.风险评估.058</t>
  </si>
  <si>
    <t>Oracle数据库</t>
  </si>
  <si>
    <t>SRC.风险评估.059</t>
  </si>
  <si>
    <t>SRC.风险评估.060</t>
  </si>
  <si>
    <t>Oracle数据库 - 用户拥有的访问权限超出了执行分配的职责所必需的权限，这可能导致职责分离不当。</t>
  </si>
  <si>
    <t>ORAD.06</t>
  </si>
  <si>
    <t>Oracle特权级别访问（配置、数据及安全管理员）已获授权并受到适当限制。</t>
  </si>
  <si>
    <t>Oracle数据库 - 系统配置或更新不足，无法限制正确授权和适当的用户访问系统。</t>
  </si>
  <si>
    <t>ORAD.05</t>
  </si>
  <si>
    <t>通过唯一用户ID、密码或其他方法进行身份验证；Oracle密码参数符合公司和/或行业标准。</t>
  </si>
  <si>
    <t>Oracle数据库 - 对数据库结构以及数据之间的关系进行了不适当的变更。</t>
  </si>
  <si>
    <t>ORAD.10</t>
  </si>
  <si>
    <t>Oracle数据库变更移至生产环境前经过适当测试和批准。</t>
  </si>
  <si>
    <t>Oracle数据库 - 生产系统、程序和/或系统任务会导致数据处理不准确、不完整或未经授权。</t>
  </si>
  <si>
    <t>ORAD.15</t>
  </si>
  <si>
    <t>仅少数授权人员可创建或变更Oracle计划任务。</t>
  </si>
  <si>
    <t>ORAD.16</t>
  </si>
  <si>
    <t>监控关键Oracle系统、程序和/或任务，并纠正处理错误以确保成功完成。</t>
  </si>
  <si>
    <t>Oracle数据库 - 从旧系统或以前版本转换数据时，因数据不完整、冗余、过时或不准确导致转换错误。</t>
  </si>
  <si>
    <t>SRC.风险评估.069</t>
  </si>
  <si>
    <t>SRC.风险评估.070</t>
  </si>
  <si>
    <t>SQL Server数据库</t>
  </si>
  <si>
    <t>SRC.风险评估.071</t>
  </si>
  <si>
    <t>SRC.风险评估.072</t>
  </si>
  <si>
    <t>SQL Server数据库 - 用户拥有的访问权限超出了执行分配的职责所必需的权限，这可能导致职责分离不当。</t>
  </si>
  <si>
    <t>SQL.06</t>
  </si>
  <si>
    <t>SQL Server特权级别访问（配置、数据及安全管理员）已获授权并受到适当限制。</t>
  </si>
  <si>
    <t>SQL Server数据库 - 系统配置或更新不足，无法限制正确授权和适当的用户访问系统。</t>
  </si>
  <si>
    <t>SQL.05</t>
  </si>
  <si>
    <t>通过唯一用户ID、密码或其他方法进行身份验证；SQL Server密码参数符合公司和/或行业标准。</t>
  </si>
  <si>
    <t>SQL Server数据库 - 对数据库结构以及数据之间的关系进行了不适当的变更。</t>
  </si>
  <si>
    <t>SQL.10</t>
  </si>
  <si>
    <t>SQL Server数据库变更移至生产环境前经过适当测试和批准。</t>
  </si>
  <si>
    <t>SQL Server数据库 - 生产系统、程序和/或系统任务会导致数据处理不准确、不完整或未经授权。</t>
  </si>
  <si>
    <t>SQL.15</t>
  </si>
  <si>
    <t>仅少数授权人员可创建或变更SQL Server计划任务。</t>
  </si>
  <si>
    <t>SQL.16</t>
  </si>
  <si>
    <t>监控关键SQL Server系统、程序和/或任务，并纠正处理错误以确保成功完成。</t>
  </si>
  <si>
    <t>SQL Server数据库 - 从旧系统或以前版本转换数据时，因数据不完整、冗余、过时或不准确导致转换错误。</t>
  </si>
  <si>
    <t>SRC.风险评估.081</t>
  </si>
  <si>
    <t>基础设施 / OS</t>
  </si>
  <si>
    <t>SRC.风险评估.082</t>
  </si>
  <si>
    <t>通用操作系统</t>
  </si>
  <si>
    <t>SRC.风险评估.083</t>
  </si>
  <si>
    <t>SRC.风险评估.084</t>
  </si>
  <si>
    <t>通用操作系统 - 用户拥有的访问权限超出了执行分配的职责所必需的权限，这可能导致职责分离不当。</t>
  </si>
  <si>
    <t>OS.02</t>
  </si>
  <si>
    <t>及时删除或修改已离职和/或调职用户的操作系统访问权限。</t>
  </si>
  <si>
    <t>OS.03</t>
  </si>
  <si>
    <t>定期复核操作系统用户访问权限。</t>
  </si>
  <si>
    <t>OS.06</t>
  </si>
  <si>
    <t>操作系统特权级别访问（配置及安全管理员）已获授权并受到适当限制。</t>
  </si>
  <si>
    <t>通用操作系统 - 系统配置或更新不足，无法限制正确授权和适当的用户访问系统。</t>
  </si>
  <si>
    <t>OS.05</t>
  </si>
  <si>
    <t>通过唯一用户ID、密码或其他方法进行身份验证；操作系统密码参数符合公司和/或行业标准。</t>
  </si>
  <si>
    <t>OS.09</t>
  </si>
  <si>
    <t>操作系统安全配置的关键属性已得到适当实施。</t>
  </si>
  <si>
    <t>RAITCOR006</t>
  </si>
  <si>
    <t>通用操作系统 - 对系统软件（如操作系统、网络、变更管理软件或访问控制软件）进行了不适当的变更。</t>
  </si>
  <si>
    <t>OS.10</t>
  </si>
  <si>
    <t>操作系统变更（包括安全补丁）移至生产环境前经过适当测试和批准。</t>
  </si>
  <si>
    <t>关联 Risk=RAITCOR006</t>
  </si>
  <si>
    <t>通用操作系统 - 生产系统、程序和/或系统任务会导致数据处理不准确、不完整或未经授权。</t>
  </si>
  <si>
    <t>OS.15</t>
  </si>
  <si>
    <t>只有授权用户有权变更操作系统批处理任务（包括接口任务）。</t>
  </si>
  <si>
    <t>OS.16</t>
  </si>
  <si>
    <t>监控关键系统、程序和/或任务，并纠正处理错误以确保成功完成。</t>
  </si>
  <si>
    <t>SRC.风险评估.095</t>
  </si>
  <si>
    <t>SRC.风险评估.096</t>
  </si>
  <si>
    <t>UNIX / Linux</t>
  </si>
  <si>
    <t>SRC.风险评估.097</t>
  </si>
  <si>
    <t>SRC.风险评估.098</t>
  </si>
  <si>
    <t>UNIX / Linux - 用户拥有的访问权限超出了执行分配的职责所必需的权限，这可能导致职责分离不当。</t>
  </si>
  <si>
    <t>UNIX.06</t>
  </si>
  <si>
    <t>UNIX特权级别访问（配置及安全管理员）已获授权并受到适当限制。</t>
  </si>
  <si>
    <t>UNIX / Linux - 系统配置或更新不足，无法限制正确授权和适当的用户访问系统。</t>
  </si>
  <si>
    <t>UNIX.05</t>
  </si>
  <si>
    <t>通过唯一用户ID、密码或其他方法进行身份验证；UNIX密码参数符合公司和/或行业标准。</t>
  </si>
  <si>
    <t>UNIX.09</t>
  </si>
  <si>
    <t>UNIX安全配置的关键属性已得到适当实施。</t>
  </si>
  <si>
    <t>UNIX / Linux - 对系统软件（如操作系统、网络、变更管理软件或访问控制软件）进行了不适当的变更。</t>
  </si>
  <si>
    <t>UNIX.10</t>
  </si>
  <si>
    <t>UNIX操作系统变更移至生产环境前经过适当测试和批准。</t>
  </si>
  <si>
    <t>UNIX / Linux - 生产系统、程序和/或系统任务会导致数据处理不准确、不完整或未经授权。</t>
  </si>
  <si>
    <t>UNIX.15</t>
  </si>
  <si>
    <t>仅授权人员可以访问处理关键财务数据的UNIX任务进程。</t>
  </si>
  <si>
    <t>UNIX.16</t>
  </si>
  <si>
    <t>监控关键UNIX系统、程序和/或任务，并纠正处理错误以确保成功完成。</t>
  </si>
  <si>
    <t>SRC.风险评估.107</t>
  </si>
  <si>
    <t>SRC.风险评估.108</t>
  </si>
  <si>
    <t>Windows</t>
  </si>
  <si>
    <t>SRC.风险评估.109</t>
  </si>
  <si>
    <t>SRC.风险评估.110</t>
  </si>
  <si>
    <t>Windows - 用户拥有的访问权限超出了执行分配的职责所必需的权限，这可能导致职责分离不当。</t>
  </si>
  <si>
    <t>WIN.06</t>
  </si>
  <si>
    <t>Windows特权级别访问（配置及安全管理员）已获授权并受到适当限制。</t>
  </si>
  <si>
    <t>Windows - 系统配置或更新不足，无法限制正确授权和适当的用户访问系统。</t>
  </si>
  <si>
    <t>WIN.05</t>
  </si>
  <si>
    <t>通过唯一用户ID、密码或其他方法进行身份验证；Windows密码参数符合公司和/或行业标准。</t>
  </si>
  <si>
    <t>Windows - 对系统软件（如操作系统、网络、变更管理软件或访问控制软件）进行了不适当的变更。</t>
  </si>
  <si>
    <t>WIN.10</t>
  </si>
  <si>
    <t>Windows操作系统变更（包括安全补丁）移至生产环境前经过适当测试和批准。</t>
  </si>
  <si>
    <t>SRC.风险评估.116</t>
  </si>
  <si>
    <t>工具 / IT Tool</t>
  </si>
  <si>
    <t>SRC.风险评估.117</t>
  </si>
  <si>
    <t>工单工具</t>
  </si>
  <si>
    <t>SRC.风险评估.118</t>
  </si>
  <si>
    <t>SRC.风险评估.119</t>
  </si>
  <si>
    <t>RAITTOOL001</t>
  </si>
  <si>
    <t>工单工具 - 系统中的电子审批不可靠或可能会被修改。</t>
  </si>
  <si>
    <t>TOOL.05</t>
  </si>
  <si>
    <t>通过唯一用户ID、密码或其他方法进行身份验证；密码参数符合公司和/或行业标准。</t>
  </si>
  <si>
    <t>关联 Risk=RAITTOOL001</t>
  </si>
  <si>
    <t>TOOL.06</t>
  </si>
  <si>
    <t>特权级别访问（如安全管理员或配置修改用户）已获授权并受到适当限制。</t>
  </si>
  <si>
    <t>SRC.风险评估.124</t>
  </si>
  <si>
    <t>SRC.风险评估.125</t>
  </si>
  <si>
    <t>身份和访问管理工具</t>
  </si>
  <si>
    <t>SRC.风险评估.126</t>
  </si>
  <si>
    <t>SRC.风险评估.127</t>
  </si>
  <si>
    <t>RAITTOOL005</t>
  </si>
  <si>
    <t>身份和访问管理工具 - 用户会被授予不当的访问权限，且/或终止用户的访问权限可能无法及时删除。</t>
  </si>
  <si>
    <t>关联 Risk=RAITTOOL005</t>
  </si>
  <si>
    <t>RAITTOOL006</t>
  </si>
  <si>
    <t>身份和访问管理工具 - 访问权限复核可能不准确或不完整。</t>
  </si>
  <si>
    <t>分类不适用（Agent不建立控制关联）</t>
  </si>
  <si>
    <t>Omnia Agent v5｜Phase 1 字段母版 V8（SAP ECC v4 recorder evidence 增量）</t>
  </si>
  <si>
    <t>1、Generic → 60175713（既有 v4 证据）
2、SAP ECC → 66176475（本次录制已证实 GRA 内容身份与创建请求）
SAP ECC 后续评价使用真实评分、RAIT 结论、Risk-Control 和“在此记录”文字写入合同；不创建真实附件。</t>
  </si>
  <si>
    <t>Generic|SAP ECC（GRA 创建已录制；后续评价链阻断）</t>
  </si>
  <si>
    <t>graContentId/graContentName -&gt; inkContentId；录制 taxonomy key/name</t>
  </si>
  <si>
    <t>GET /rapr/v0/engagements/{engagementId}/itelement/getITElementCategoryPublicationList；POST /rapr/v0/engagements/{engagementId}/riskassessments/create；GET /rapr/v0/engagements/{engagementId}/riskassessments/{id}</t>
  </si>
  <si>
    <t>taxonomy response key=66176475/name=StandardizedAccount_SAP ECC；create request.inkContentId=66176475；read-back inkContentId/commonAccountName</t>
  </si>
  <si>
    <t>录制 dfa8eb76：request-25/seq83；request-135/seq531；request-142/seq563、request-146/seq579</t>
  </si>
  <si>
    <t>录制已证实-创建链</t>
  </si>
  <si>
    <t>当前录制已证实 SAP ECC 内容身份、GRA create 与核心 read-back。评分、RAIT 结论与 Risk-Control 关联按已验证的 v4 合同参数化复用；不得保存运行时对象 ID，执行时仍须逐步读回。</t>
  </si>
  <si>
    <t>按 risk-factor category 的运行时 id 定位；JSON Patch /applicable=true；并发条件使用 /concurrencyTabs/{tabId}/updatedOn 与 /updatedOn</t>
  </si>
  <si>
    <t>PATCH /rapr/v0/engagements/{engagementId}/risk-factor-categories/{id}；GET 同路径读回</t>
  </si>
  <si>
    <t>request JSON Patch /applicable=true；response.applicable=true；随后 GET response.applicable=true</t>
  </si>
  <si>
    <t>v4录制 cfd09224：request-137/seq488 PATCH HTTP 200；request-138/seq492 GET HTTP 200</t>
  </si>
  <si>
    <t>用户规则仍为所有适用元素默认开启。本次只证实 Application/SAP ECC：category.name=IT风险评估（如果测试运行有效性），PATCH /applicable=true，响应及 GET 精确读回 true。DB/OS/Tool 不得直接套用为已证实。</t>
  </si>
  <si>
    <t>response.itElementRaitConclusionLevelId；response.lastSubmittedITElementRaitConclusionLevelId；submit payload riskLevelOverride/isPurgeControlHiddenData/updateQM/accountContents</t>
  </si>
  <si>
    <t>POST /rapr/v0/engagements/{engagementId}/riskassessments/{id}/submit-riskfactor-evaluation；GET /riskassessments/{id}</t>
  </si>
  <si>
    <t>submit response.status=EvaluationProcessing；最终 GET response.status=EvaluationComplete；结论值 Higher 被保留</t>
  </si>
  <si>
    <t>v4录制 cfd09224：request-211/seq806 POST HTTP 200；request-213/214 Processing；request-227/seq858 EvaluationComplete</t>
  </si>
  <si>
    <t>Higher 与 Lower 共用同一评估写入合同。Lower 分支把适用评分项写为 1，并将 /itElementRaitConclusionLevelId 写为 Lower 后读回；产品决策 2026-08-03：无需单独 Lower canary。</t>
  </si>
  <si>
    <t>Factors Considered 与 risk consideration 都必须来自用户上传资料，但保持两个独立语义字段。risk consideration 统一写入 GRA 主 documentation 的“在此记录”文字区域；不创建真实附件。</t>
  </si>
  <si>
    <t>Higher/Lower 关联由 Risk-Control关系 表的 link_required_* 决定，目录存在不等于应关联。SAP ECC 已有18/18身份与 Higher 既有关联读回；关联写入复用 v4 validate+associate 合同。Lower 取17条目标关系，无需单独录制，但仍须幂等检查与写后读回。</t>
  </si>
  <si>
    <t>IT风险评估（Application评分体系；本对象不适用）</t>
  </si>
  <si>
    <t>不适用：DB、OS、Tool 不使用 Application 的风险因素评分体系，不开启该评分分类</t>
  </si>
  <si>
    <t>不生成、不调用</t>
  </si>
  <si>
    <t>product-rule</t>
  </si>
  <si>
    <t>不得调用 risk-factor-categories 或 risk-factors 评分 endpoint</t>
  </si>
  <si>
    <t>不得 PATCH /applicable=true 或 /riskLevel</t>
  </si>
  <si>
    <t>用户确认 2026-08-03：DB/OS/Tool 无需 Application 评分体系</t>
  </si>
  <si>
    <t>产品规则已确认-不适用</t>
  </si>
  <si>
    <t>1、执行计划不得生成评分项或评分写入
2、不得开启 IT 风险评估评分分类</t>
  </si>
  <si>
    <t>仅 Application 使用评分体系。DB/OS/Tool 的 RAIT 结论、继承或其他 GRA 合同如仍适用，必须与评分规则分开处理。</t>
  </si>
  <si>
    <t>Higher/Lower 关联由当前元素类型对应的 link_required_* 决定；目录存在不等于应关联。SAP ECC 的证据不得直接套用到本元素类型，身份或合同未确认时仍阻断；阻断原因不再是 Lower 缺少单独录制。</t>
  </si>
  <si>
    <t>RAIT结论文字记录（本对象不适用）</t>
  </si>
  <si>
    <t>Tool 不需要“在此记录”或 risk consideration 文字写入</t>
  </si>
  <si>
    <t>不调用 /documentation</t>
  </si>
  <si>
    <t>无写请求</t>
  </si>
  <si>
    <t>用户确认 2026-08-03：Tool 无需在此记录</t>
  </si>
  <si>
    <t>执行计划不得生成文字记录或 /documentation Operation</t>
  </si>
  <si>
    <t>保留旧稳定字段 ID 只为兼容历史引用；当前产品规则为不适用，运行时不得执行。</t>
  </si>
  <si>
    <t>risks[].id/inkRiskNumber/riskNumber/description/riskRiskScopes[].id；planned detail.planResponseRisk[0].riskNumber/classificationType/riskRiskScopes</t>
  </si>
  <si>
    <t>GET /rapr/v0/engagements/{engagementId}/risks/byriskassessmentid；GET /plannedresponse/GetPlanResponseDetailByRiskRiskScopeId</t>
  </si>
  <si>
    <t>当前录制返回稳定运行时 risk id、RAITCOR 编号、描述、riskRiskScopeId；Higher planned detail 精确读回</t>
  </si>
  <si>
    <t>v4录制 cfd09224：request-229/seq875；per-risk detail request-233/235/239/244/254/262</t>
  </si>
  <si>
    <t>风险身份与 Higher planned-response 读回已证实。录制没有创建 Risk 或关联 mutation；不可据此解除写入阻断，也不可把当前对象 id 固化为模板常量。</t>
  </si>
  <si>
    <t>controls[].id/controlNumber/name/description/controlRiskScopes[]；planned detail.planResponseSelectedControl/planResponseControl[].controlNumber/enabled/currentRiskScopes[].riskId/riskScopeId/assertionType/assertions</t>
  </si>
  <si>
    <t>GET /rapr/v0/engagements/{engagementId}/controls/byRiskAssessmentId/{id}；GET /plannedresponse/GetPlanResponseDetailByRiskRiskScopeId</t>
  </si>
  <si>
    <t>当前录制返回稳定运行时 control id、SAPECC.xx 编号及既有关联 read-back；enabled=true 且 currentRiskScopes.isEnabled=true</t>
  </si>
  <si>
    <t>v4录制 cfd09224：request-230/seq881；per-risk detail request-233/235/239/254/262</t>
  </si>
  <si>
    <t>控制身份与 Higher 既有关联读回已证实。录制没有 control-risk associate/validate mutation；不可把“已经存在的关联”误写成“本次录制完成了关联写入”，运行时对象 id 不得固化。</t>
  </si>
  <si>
    <t>P1.APP.GRA.RISK_CONSIDERATION_FILE_RECORD</t>
  </si>
  <si>
    <t>+文件记录｜在此记录（GRA 主文档文字）</t>
  </si>
  <si>
    <t>点击“+文件记录”进入“在此记录”，把用户上传资料中的 risk consideration 作为文字写入该元素 GRA 主 documentation；不创建、上传或绑定真实附件。</t>
  </si>
  <si>
    <t>条件必填：当前元素进入计划时必须取得 risk consideration；缺失或冲突阻断。输出形态固定为“在此记录”文字，不存在附件分支。</t>
  </si>
  <si>
    <t>无默认；缺失、冲突或不可评估均阻断</t>
  </si>
  <si>
    <t>user-rule</t>
  </si>
  <si>
    <t>NormalizedInput.riskConsideration -&gt; JSON Patch /documentation；value.documentation 为 RTE JSON（editorData/plainText），value.workItems=[]</t>
  </si>
  <si>
    <t>PATCH /rapr/v0/engagements/{engagementId}/riskassessments/{id}；GET 同路径读回</t>
  </si>
  <si>
    <t>request /documentation；response.documentation.documentation 原样回读，workItems=[]；后续 submit 与 GET 仍保留该值</t>
  </si>
  <si>
    <t>v4录制 cfd09224：RTE interaction seq525-531；request-146/seq533 PATCH HTTP 200；request-179/seq663、request-211/seq806、request-213/214 read-back</t>
  </si>
  <si>
    <t>1、值来自当前元素上传资料的 risk consideration
2、无默认、不得 AI 补写
3、写后必须精确读回相同文本或受控文档身份
4、API 未冻结前禁止执行</t>
  </si>
  <si>
    <t>USER.20260803.APP.RISK_CONSIDERATION</t>
  </si>
  <si>
    <t>Application/SAP ECC 已由 v4 cfd09224 证实：PATCH riskassessments/{id} 的 /documentation，写入 RTE JSON 后精确读回。产品规则：所有本功能场景都只写文字，不实现真实附件。</t>
  </si>
  <si>
    <t>P1.DB.GRA.RISK_CONSIDERATION_FILE_RECORD</t>
  </si>
  <si>
    <t>+文件记录｜在此记录（本对象不适用）</t>
  </si>
  <si>
    <t>Database 不需要 risk consideration、“在此记录”或 GRA /documentation 文字写入</t>
  </si>
  <si>
    <t>不生成 NormalizedInput.riskConsideration</t>
  </si>
  <si>
    <t>无写请求或读回要求</t>
  </si>
  <si>
    <t>用户确认 2026-08-03：Database 无需在此记录</t>
  </si>
  <si>
    <t>执行计划必须省略该字段；不得生成文字记录或附件 Operation</t>
  </si>
  <si>
    <t>USER.20260803.DB.RISK_CONSIDERATION</t>
  </si>
  <si>
    <t>保留稳定字段 ID 只为兼容历史引用；当前产品规则为不适用，运行时不得展示为输入项或生成 Connector 命令。</t>
  </si>
  <si>
    <t>P1.OS.GRA.RISK_CONSIDERATION_FILE_RECORD</t>
  </si>
  <si>
    <t>Operating System 不需要 risk consideration、“在此记录”或 GRA /documentation 文字写入</t>
  </si>
  <si>
    <t>用户确认 2026-08-03：Operating System 无需在此记录</t>
  </si>
  <si>
    <t>USER.20260803.OS.RISK_CONSIDERATION</t>
  </si>
  <si>
    <t>P1.TOOL.GRA.RISK_CONSIDERATION_FILE_RECORD</t>
  </si>
  <si>
    <t>IT Tool 不需要 risk consideration、“在此记录”或 GRA /documentation 文字写入</t>
  </si>
  <si>
    <t>用户确认 2026-08-03：IT Tool 无需在此记录</t>
  </si>
  <si>
    <t>USER.20260803.Tool.RISK_CONSIDERATION</t>
  </si>
  <si>
    <t>条件必需（按元素 RAIT）</t>
  </si>
  <si>
    <t>v4-recorder-identity+existing-link-readback+user-rule</t>
  </si>
  <si>
    <t>GET risks/byriskassessmentid -&gt; risk.id/riskNumber/riskRiskScopes[].id；GET controls/byRiskAssessmentId/{id} -&gt; control.id/controlNumber/controlRiskScopes[]；GET plannedresponse/GetPlanResponseDetailByRiskRiskScopeId -&gt; planResponseRisk[0].riskNumber + selected/control[].controlNumber/enabled/currentRiskScopes[].riskId/riskScopeId/assertionType/assertions</t>
  </si>
  <si>
    <t>v4录制 cfd09224：request-229/seq875（risk list）；request-230/seq881（control list）；request-254/seq985；request-262/seq1021（Higher 既有关联读回）</t>
  </si>
  <si>
    <t>v4/SAP ECC已证实18/18身份与Higher既有关联读回；关联写入合同可复用；Lower无需单独验证</t>
  </si>
  <si>
    <t>运行时按 riskScopeId/controlId/assertionType/assertion 动态组装并复用 v4 validate+associate 合同。Lower 目标集合取 link_required_lower=Y；无需独立 canary，仍执行幂等检查与写后读回。</t>
  </si>
  <si>
    <t>v4录制 cfd09224：request-229/seq875（risk list）；request-230/seq881（control list）；request-233/seq893（Higher 既有关联读回）</t>
  </si>
  <si>
    <t>REL.APP.SAP_ECC.RAITCOR001.SAP_03 仅 Higher 需要；Lower 新建流程不得关联。若处理既有对象时发现该关系，必须按发布的关系收敛规则处置，不得把 Higher 集合直接沿用为 Lower。</t>
  </si>
  <si>
    <t>v4录制 cfd09224：request-229/seq875（risk list）；request-230/seq881（control list）；request-235/seq904（Higher 既有关联读回）</t>
  </si>
  <si>
    <t>v4录制 cfd09224：request-229/seq875（risk list）；request-230/seq881（control list）；request-239/seq922（Higher 既有关联读回）</t>
  </si>
  <si>
    <t>RULE.P1.GRA.IT_RISK_DEFAULT_ON</t>
  </si>
  <si>
    <t>GRA.itRiskAssessmentEnabled</t>
  </si>
  <si>
    <t>所有适用 IT Element 的 GRA</t>
  </si>
  <si>
    <t>开启（true）</t>
  </si>
  <si>
    <t>默认 true；Application/SAP ECC 已证实 PATCH /applicable=true 并读回。其他元素类型仍需补录或 canary。</t>
  </si>
  <si>
    <t>用户规则；v4录制 cfd09224 request-137/seq488 + request-138/seq492</t>
  </si>
  <si>
    <t>Application/SAP ECC已证实；其他类型API待验证</t>
  </si>
  <si>
    <t>RULE.P1.GRA.RISK_CONSIDERATION_FILE_RECORD</t>
  </si>
  <si>
    <t>GRA.riskConsideration.fileRecord</t>
  </si>
  <si>
    <t>来源映射</t>
  </si>
  <si>
    <t>仅 Application GRA</t>
  </si>
  <si>
    <t>仅 Application：上传资料 risk consideration -&gt; “+文件记录/在此记录” -&gt; GRA 主 documentation 文字</t>
  </si>
  <si>
    <t>无默认；缺失/冲突/not_evaluable 阻断；以 RTE JSON 写入 /documentation 并读回；真实附件路径不属于本功能。</t>
  </si>
  <si>
    <t>用户规则；v4录制 cfd09224 request-146/seq533、request-179/211/213 read-back</t>
  </si>
  <si>
    <t>产品规则已确认-仅 Application；DB/OS/Tool 不适用</t>
  </si>
  <si>
    <t>RULE.P1.GRA.SCORE.HIGHER.MAX_DYNAMIC</t>
  </si>
  <si>
    <t>GRA.score.higher</t>
  </si>
  <si>
    <t>动态评分</t>
  </si>
  <si>
    <t>每个适用评分项</t>
  </si>
  <si>
    <t>Higher -&gt; 每项 response.riskLevelSpectrum[].value 的 max；本次14个适用项均为4</t>
  </si>
  <si>
    <t>必须按运行时 riskFactors[].id/inkContentId 定位；仅 applicable=true 项写入；PATCH /riskLevel 后以响应及列表读回。</t>
  </si>
  <si>
    <t>v4录制 cfd09224 request-164..177/seq584..597；request-178、180 read-back</t>
  </si>
  <si>
    <t>SAP ECC Higher已证实</t>
  </si>
  <si>
    <t>RULE.P1.GRA.SCORE.LOWER.ONE</t>
  </si>
  <si>
    <t>GRA.score.lower</t>
  </si>
  <si>
    <t>Lower -&gt; 1（仅 applicable=true 且 1 ∈ riskLevelSpectrum[].value）</t>
  </si>
  <si>
    <t>15项运行时元数据均允许1；Lower 复用同一风险评分 PATCH 合同，所有 applicable=true 项写1，无需单独 Lower canary。</t>
  </si>
  <si>
    <t>v4录制 cfd09224：riskFactors metadata request-180/seq677；Lower无写入事件</t>
  </si>
  <si>
    <t>Lower按运行时 riskLevelSpectrum 选择 value=1，逐项写入并读回；不硬编码对象 ID</t>
  </si>
  <si>
    <t>SAP ECC 创建录制｜API 与缺口证据</t>
  </si>
  <si>
    <t>证据来源：dfa8eb76、f312280e、cfd09224，三份均为 v4 recorder 录制；本表仅保留接口结构、字段语义和脱敏计数，不复制对象 ID、邮箱、token 或原始敏感内容。</t>
  </si>
  <si>
    <t>动作/规则</t>
  </si>
  <si>
    <t>适用对象</t>
  </si>
  <si>
    <t>method + endpoint</t>
  </si>
  <si>
    <t>request 字段</t>
  </si>
  <si>
    <t>response/read-back 字段</t>
  </si>
  <si>
    <t>录制事件</t>
  </si>
  <si>
    <t>可支持的结论</t>
  </si>
  <si>
    <t>缺口/阻断</t>
  </si>
  <si>
    <t>修复/补录要求</t>
  </si>
  <si>
    <t>REC.SAP_ECC.TAXONOMY</t>
  </si>
  <si>
    <t>识别 SAP ECC 内容身份</t>
  </si>
  <si>
    <t>GET /rapr/v0/engagements/{engagementId}/itelement/getITElementCategoryPublicationList</t>
  </si>
  <si>
    <t>无业务 body</t>
  </si>
  <si>
    <t>taxonomy key=66176475；name=StandardizedAccount_SAP ECC</t>
  </si>
  <si>
    <t>request-25 / seq83 / HTTP 200</t>
  </si>
  <si>
    <t>录制已证实</t>
  </si>
  <si>
    <t>可确定当前录制中 SAP ECC 的内容键</t>
  </si>
  <si>
    <t>不是 Feature mutation canary，也未证明所有 Pack 永久相同</t>
  </si>
  <si>
    <t>运行时从当前 Pack 读 taxonomy 并按 key+name 唯一匹配</t>
  </si>
  <si>
    <t>禁止仅按 UI 文案或历史常量选择</t>
  </si>
  <si>
    <t>REC.SAP_ECC.CREATE_ELEMENT</t>
  </si>
  <si>
    <t>创建 IT Element</t>
  </si>
  <si>
    <t>name, workspaceId, description, engagementId, number, itElementType=Application</t>
  </si>
  <si>
    <t>id, workItemId, itElementType；随后 GET detail</t>
  </si>
  <si>
    <t>request-29 / seq134 / HTTP 200</t>
  </si>
  <si>
    <t>可形成窄 create-element Operation 候选</t>
  </si>
  <si>
    <t>请求未携带 SAP ECC subtype；类型身份来自后续 GRA 内容选择</t>
  </si>
  <si>
    <t>补充 exact preflight、重复/回收站检查、幂等、写后读回 canary</t>
  </si>
  <si>
    <t>不宣称新建与关联 Feature 已可用</t>
  </si>
  <si>
    <t>REC.SAP_ECC.SET_RELEVANT</t>
  </si>
  <si>
    <t>设置 IT Element 相关</t>
  </si>
  <si>
    <t>JSON Patch /isRelevant=true, /concurrencyTabId=501, /concurrencyTabUpdatedOn</t>
  </si>
  <si>
    <t>isRelevant=true；concurrencyTabs 回读</t>
  </si>
  <si>
    <t>request-132 / seq521 / HTTP 200</t>
  </si>
  <si>
    <t>可形成窄 patch 候选</t>
  </si>
  <si>
    <t>仅覆盖当前录制字段</t>
  </si>
  <si>
    <t>冻结并发 token、before/read-back 与 response-loss 语义</t>
  </si>
  <si>
    <t>字段级证据，不代表整张设置页</t>
  </si>
  <si>
    <t>REC.SAP_ECC.CREATE_GRA</t>
  </si>
  <si>
    <t>创建 SAP ECC GRA</t>
  </si>
  <si>
    <t>inkContentId=66176475, typeId=3, facetId, entityId, name</t>
  </si>
  <si>
    <t>id, workItemId, referenceNumber, inkContentId；GET exact GRA</t>
  </si>
  <si>
    <t>request-135 / seq531 / HTTP 200；request-142/146 read-back</t>
  </si>
  <si>
    <t>可确认 SAP ECC GRA create payload 与核心 read-back 字段</t>
  </si>
  <si>
    <t>未覆盖风险因素评价、评分、“在此记录”文字写入、提交和 Risk-Control</t>
  </si>
  <si>
    <t>补录完整评价链并做 signed Operation/read-back canary</t>
  </si>
  <si>
    <t>当前只解除“SAP ECC GRA 内容/创建 API 未知”这一窄缺口</t>
  </si>
  <si>
    <t>REC.SAP_ECC.READ_GRA</t>
  </si>
  <si>
    <t>读取 SAP ECC GRA 身份</t>
  </si>
  <si>
    <t>GET /rapr/v0/engagements/{engagementId}/riskassessments/{id}</t>
  </si>
  <si>
    <t>path id</t>
  </si>
  <si>
    <t>inkContentId=66176475；riskScopes.commonAccountName=SAP ECC；workItemId/referenceNumber/status</t>
  </si>
  <si>
    <t>request-142 / seq563；request-146 / seq579 / HTTP 200</t>
  </si>
  <si>
    <t>可进行 GRA 身份/内容读回</t>
  </si>
  <si>
    <t>当时 status 仍在生成阶段；未有最终 EvaluationComplete</t>
  </si>
  <si>
    <t>后续 mutation 后再次 exact read-back/poll</t>
  </si>
  <si>
    <t>不得把 ContentPending/NotStarted 当完成</t>
  </si>
  <si>
    <t>REC.SAP_ECC.RISK_CONTROL</t>
  </si>
  <si>
    <t>识别并关联全部 SAP ECC Risk/Control</t>
  </si>
  <si>
    <t>Risk → Control</t>
  </si>
  <si>
    <t>popup seq617 后没有相关 request/response</t>
  </si>
  <si>
    <t>18/18身份与Higher既有关联读回已证实；v4关联写入合同可复用；Lower无需单独验证</t>
  </si>
  <si>
    <t>18/18母版 risk-control 编号可逐条映射到运行时 risk/control identity 与 planned-response 既有关联</t>
  </si>
  <si>
    <t>当前文件未出现 associate mutation；实现复用 v4 已验证的 validateHiddenDataForRiskAssociation + controlrisks/associate 合同，并以实时读回验收</t>
  </si>
  <si>
    <t>Higher取18条、Lower取17条目标关系；运行时动态组装、幂等跳过既有关联、写后读回</t>
  </si>
  <si>
    <t>v4录制 cfd09224 request-229/230 及 per-risk planned detail；不得把现有关系读回当成本次写入</t>
  </si>
  <si>
    <t>REC.SAP_ECC.GRA_NEW_RULES</t>
  </si>
  <si>
    <t>默认开启 IT 风险评估；risk consideration文字记录；评分</t>
  </si>
  <si>
    <t>仅 Application</t>
  </si>
  <si>
    <t>page-2 仅初始化资源；无字段级 interaction/mutation</t>
  </si>
  <si>
    <t>Application开关、在此记录、Higher评分已证实；Lower按同一评分/结论/提交合同参数化复用</t>
  </si>
  <si>
    <t>Application/SAP ECC：/applicable=true；GRA主/documentation；14项Higher /riskLevel=4</t>
  </si>
  <si>
    <t>DB/OS/Tool 不使用本评分体系，也不需要“在此记录”；不是待补录项</t>
  </si>
  <si>
    <t>实现必须将评分、/riskLevel 和 /documentation 文字写入限制在 Application</t>
  </si>
  <si>
    <t>由 v4录制 cfd09224 增量升级；仍须遵守逐类型/逐场景证据边界</t>
  </si>
  <si>
    <t>REC.SAP_ECC.SUPPLEMENT_GAP</t>
  </si>
  <si>
    <t>用户补录的 GRA/风险页面导航</t>
  </si>
  <si>
    <t>GRA / Risk route</t>
  </si>
  <si>
    <t>录制 f312280e：23 events；2 instrumentation.error + 21 popup-target-changed；0 interaction/network/mutation/body</t>
  </si>
  <si>
    <t>仅导航身份/仍阻断</t>
  </si>
  <si>
    <t>只能证明浏览器曾处于带 GRA/risk 路由的 popup target；不在母版保存具体 ID</t>
  </si>
  <si>
    <t>没有任何 API、payload、response、字段或评分证据</t>
  </si>
  <si>
    <t>先修复 popup/frame instrumentation，再重录完整 API 链</t>
  </si>
  <si>
    <t>补录不能提升 IT风险评估、在此记录文字、评分或 Risk-Control 的证据状态</t>
  </si>
  <si>
    <t>REC.SAP_ECC.INSTRUMENTATION_GAP</t>
  </si>
  <si>
    <t>录制完整性冲突</t>
  </si>
  <si>
    <t>Recorder</t>
  </si>
  <si>
    <t>n/a</t>
  </si>
  <si>
    <t>07:26:41 instrumentation.error；其后约 4 分钟至停止零事件；metadata integrity.complete=true 且 critical.expected=0</t>
  </si>
  <si>
    <t>P0 录制器缺陷</t>
  </si>
  <si>
    <t>只能使用中断前已捕获证据</t>
  </si>
  <si>
    <t>完整性算法未把 popup instrumentation 丢失判为 incomplete</t>
  </si>
  <si>
    <t>把 page/target instrumentation 心跳、关键 GRA endpoint 期望和尾部静默窗口纳入 completeness gate</t>
  </si>
  <si>
    <t>修复前不得用该录制证明 page-2 操作</t>
  </si>
  <si>
    <t>REC.SAP_ECC.SECURITY_GAP</t>
  </si>
  <si>
    <t>凭据正文捕获冲突</t>
  </si>
  <si>
    <t>POST /webpubsub/:redacted/PubSub/:redacted</t>
  </si>
  <si>
    <t>已脱敏</t>
  </si>
  <si>
    <t>response URI 含 access_token（未复制）</t>
  </si>
  <si>
    <t>request-199；response-body seq839</t>
  </si>
  <si>
    <t>P0 安全缺陷</t>
  </si>
  <si>
    <t>仅证明 recorder 过滤未覆盖该响应字段</t>
  </si>
  <si>
    <t>security.credentialsRecorded=false 与正文事实冲突</t>
  </si>
  <si>
    <t>响应体递归净化 token/query，并让安全扫描结果覆盖声明字段；现有录制按敏感 Artifact 处理</t>
  </si>
  <si>
    <t>本母版与审计文档不复制 token 或邮箱</t>
  </si>
  <si>
    <t>V4REC.CFD09224.INTEGRITY</t>
  </si>
  <si>
    <t>v4 recorder 完整性</t>
  </si>
  <si>
    <t>1032 events；body 143/143；critical 29/29；0 instrumentation.error</t>
  </si>
  <si>
    <t>录制完整性通过</t>
  </si>
  <si>
    <t>可使用本文件中的实际 API 证据</t>
  </si>
  <si>
    <t>完整性通过不等于各业务动作都出现</t>
  </si>
  <si>
    <t>按动作逐条审计；缺失 mutation 继续阻断</t>
  </si>
  <si>
    <t>v4 recorder evidence；不是 v5 recorder</t>
  </si>
  <si>
    <t>V4REC.CFD09224.IT_RISK_ON</t>
  </si>
  <si>
    <t>开启 IT风险评估（如果测试运行有效性）</t>
  </si>
  <si>
    <t>PATCH /rapr/v0/engagements/{engagementId}/risk-factor-categories/{id}</t>
  </si>
  <si>
    <t>JSON Patch /applicable=true + concurrency tests</t>
  </si>
  <si>
    <t>response.applicable=true；GET 同路径 read-back true</t>
  </si>
  <si>
    <t>request-137/seq488；request-138/seq492；HTTP 200</t>
  </si>
  <si>
    <t>v4录制已证实</t>
  </si>
  <si>
    <t>Application/SAP ECC 开关实现已识别</t>
  </si>
  <si>
    <t>其他元素类型未录制</t>
  </si>
  <si>
    <t>DB/OS/Tool 需补录或 canary</t>
  </si>
  <si>
    <t>request-134 先关闭/删除后，request-137 重新开启；最终状态 true</t>
  </si>
  <si>
    <t>V4REC.CFD09224.RISK_CONSIDERATION</t>
  </si>
  <si>
    <t>risk consideration｜+文件记录后进入“在此记录”并填写文字</t>
  </si>
  <si>
    <t>Application / SAP ECC GRA</t>
  </si>
  <si>
    <t>PATCH /rapr/v0/engagements/{engagementId}/riskassessments/{id}</t>
  </si>
  <si>
    <t>JSON Patch /documentation；value.documentation=RTE JSON；value.workItems=[]</t>
  </si>
  <si>
    <t>response.documentation.documentation 原样读回；submit/GET 后仍保留</t>
  </si>
  <si>
    <t>RTE seq525-531；request-146/seq533；request-179/211/213</t>
  </si>
  <si>
    <t>v4录制已证实-在此记录</t>
  </si>
  <si>
    <t>已识别 GRA 主文档写入与读回</t>
  </si>
  <si>
    <t>真实附件不属于本功能范围</t>
  </si>
  <si>
    <t>实现固定为“在此记录/GRA主文档文字”</t>
  </si>
  <si>
    <t>只允许 /documentation 文字写入；禁止创建、上传或绑定附件</t>
  </si>
  <si>
    <t>V4REC.CFD09224.SCORING_METADATA</t>
  </si>
  <si>
    <t>读取全部 SAP ECC GRA 评分项元数据</t>
  </si>
  <si>
    <t>15 items；14 applicable + 1 not applicable</t>
  </si>
  <si>
    <t>GET /rapr/v0/engagements/{engagementId}/risk-factors/byRiskAssessmentId/{id}</t>
  </si>
  <si>
    <t>path riskAssessment id</t>
  </si>
  <si>
    <t>riskFactors[].id/inkContentId/description/displayOrder/applicable/riskLevelSpectrum</t>
  </si>
  <si>
    <t>request-180/seq677；request-219/seq825</t>
  </si>
  <si>
    <t>15项均有运行时身份与 allowed values 1|2|3|4</t>
  </si>
  <si>
    <t>不得硬编码对象 id；不适用项不得强制评分</t>
  </si>
  <si>
    <t>按运行时 id/inkContentId 唯一定位</t>
  </si>
  <si>
    <t>数据转换 displayOrder=13 在本次 applicable=false</t>
  </si>
  <si>
    <t>V4REC.CFD09224.SCORING_HIGHER</t>
  </si>
  <si>
    <t>Higher逐项最高分写入</t>
  </si>
  <si>
    <t>14 applicable items</t>
  </si>
  <si>
    <t>PATCH /rapr/v0/engagements/{engagementId}/risk-factors/{id}</t>
  </si>
  <si>
    <t>JSON Patch /riskLevel；value.name=风险较高；value.value=4</t>
  </si>
  <si>
    <t>每次 HTTP 200 response.riskLevel=4；GET/list read-back 仍为4</t>
  </si>
  <si>
    <t>request-164..177/seq584..597；request-178/seq628；request-180/seq677</t>
  </si>
  <si>
    <t>v4录制已证实-Higher</t>
  </si>
  <si>
    <t>14个适用项 max(1,2,3,4)=4，写入与读回一致</t>
  </si>
  <si>
    <t>Lower按同一 PATCH 合同把 applicable=true 项写为1</t>
  </si>
  <si>
    <t>按运行时 riskLevelSpectrum 选择 value=1并逐项读回；无需独立 canary</t>
  </si>
  <si>
    <t>Highest 必须运行时计算，不得把4推广到其他Pack</t>
  </si>
  <si>
    <t>V4REC.CFD09224.SUBMIT</t>
  </si>
  <si>
    <t>提交风险因素评价并完成</t>
  </si>
  <si>
    <t>POST /rapr/v0/engagements/{engagementId}/riskassessments/{id}/submit-riskfactor-evaluation</t>
  </si>
  <si>
    <t>riskLevelOverride=null；isPurgeControlHiddenData=false；updateQM=false；accountContents=[]</t>
  </si>
  <si>
    <t>Processing -&gt; 最终 GET EvaluationComplete；结论 Higher</t>
  </si>
  <si>
    <t>request-211/seq806；request-213/214；request-227/seq858</t>
  </si>
  <si>
    <t>v4录制已证实-Higher提交</t>
  </si>
  <si>
    <t>Higher评价闭环到 EvaluationComplete</t>
  </si>
  <si>
    <t>Lower先 PATCH 评估结论并读回，再复用相同 submit 合同</t>
  </si>
  <si>
    <t>确认 itElementRaitConclusionLevelId=Lower 与最终 EvaluationComplete；无需独立 canary</t>
  </si>
  <si>
    <t>提交不等于 Risk-Control 关联写入</t>
  </si>
  <si>
    <t>V4REC.CFD09224.RISK_CONTROL_READBACK</t>
  </si>
  <si>
    <t>SAP ECC Risk-Control 身份与既有关联读回</t>
  </si>
  <si>
    <t>18条母版关系</t>
  </si>
  <si>
    <t>GET risks/byriskassessmentid；GET controls/byRiskAssessmentId/{id}；GET plannedresponse/GetPlanResponseDetailByRiskRiskScopeId</t>
  </si>
  <si>
    <t>query/path runtime ids</t>
  </si>
  <si>
    <t>risk/control id + number；enabled/currentRiskScopes/riskScopeId/assertionType/assertions</t>
  </si>
  <si>
    <t>request-229/seq875；request-230/seq881；request-233/235/239/254/262</t>
  </si>
  <si>
    <t>v4录制已证实18/18 Higher读回；Lower复用同一关联合同</t>
  </si>
  <si>
    <t>18条按 RAITCOR + SAPECC 编号逐条匹配，Higher既有关联为 enabled=true</t>
  </si>
  <si>
    <t>当前文件无 associate/validate mutation；Lower不另行补录</t>
  </si>
  <si>
    <t>按 link_required_lower=Y 的17条关系执行 v4 validate+associate，并逐条读回</t>
  </si>
  <si>
    <t>现有关联读回不能证明本次录制完成写入</t>
  </si>
  <si>
    <t>V4REC.CFD09224.SECURITY</t>
  </si>
  <si>
    <t>v4录制敏感信息扫描</t>
  </si>
  <si>
    <t>正文未发现 access_token/Bearer；仍包含邮箱类PII（不复制）</t>
  </si>
  <si>
    <t>原始录制静态扫描</t>
  </si>
  <si>
    <t>PII仍需受控</t>
  </si>
  <si>
    <t>业务证据可在脱敏后使用</t>
  </si>
  <si>
    <t>security.credentialsRecorded=false 不代表没有人员信息</t>
  </si>
  <si>
    <t>原始文件不进入源码库/feature包；母版只存脱敏字段</t>
  </si>
  <si>
    <t>本工作簿未复制邮箱、token或对象实例id</t>
  </si>
  <si>
    <t>GRA 评分规则｜仅 Application｜动态上限与逐项映射门禁</t>
  </si>
  <si>
    <t>本评分体系仅适用于 Application。cfd09224 v4 recorder 已证实 SAP ECC 15个评分项元数据与14个 applicable 项 Higher 写入/读回；Lower 复用同一合同。DB、OS、Tool 不生成评分项，不调用 /riskLevel。</t>
  </si>
  <si>
    <t>适用范围</t>
  </si>
  <si>
    <t>取值方式</t>
  </si>
  <si>
    <t>目标值</t>
  </si>
  <si>
    <t>允许范围来源</t>
  </si>
  <si>
    <t>最高分来源</t>
  </si>
  <si>
    <t>1分校验</t>
  </si>
  <si>
    <t>API/JSON字段</t>
  </si>
  <si>
    <t>endpoint+method</t>
  </si>
  <si>
    <t>write/read-back</t>
  </si>
  <si>
    <t>执行门禁</t>
  </si>
  <si>
    <t>动态选择</t>
  </si>
  <si>
    <t>该项 allowed scores 的 max</t>
  </si>
  <si>
    <t>运行时读取该评分项的 riskLevelSpectrum[] 与 item identity/version</t>
  </si>
  <si>
    <t>max(response.riskLevelSpectrum[].value)=4（本次SAP ECC Pack）</t>
  </si>
  <si>
    <t>riskFactors[].id/inkContentId/riskLevelSpectrum；JSON Patch /riskLevel</t>
  </si>
  <si>
    <t>request-164..177：response.riskLevel=4；request-180列表读回</t>
  </si>
  <si>
    <t>v4录制已证实-SAP ECC Higher</t>
  </si>
  <si>
    <t>仅 applicable=true 且 item identity/allowed range 可唯一确认时执行</t>
  </si>
  <si>
    <t>v4录制 cfd09224 request-164..177/seq584..597；request-180/seq677</t>
  </si>
  <si>
    <t>Higher 已完成写入与读回；最高分仍须运行时计算，不得跨Pack硬编码4</t>
  </si>
  <si>
    <t>受范围约束的固定值</t>
  </si>
  <si>
    <t>仅当 1 ∈ riskLevelSpectrum[].value；否则阻断</t>
  </si>
  <si>
    <t>riskFactors[].id/inkContentId/riskLevelSpectrum；写入候选为 JSON Patch /riskLevel</t>
  </si>
  <si>
    <t>Lower与Higher共用 /riskLevel PATCH；从运行时 riskLevelSpectrum 选择 value=1，写入后读回</t>
  </si>
  <si>
    <t>产品已批准-复用现有评分/结论/提交合同</t>
  </si>
  <si>
    <t>仅当 applicable、value=1、评估结论与关系集合可由运行时数据精确校验时执行；无需独立 Lower canary</t>
  </si>
  <si>
    <t>v4录制 cfd09224 request-180/seq677</t>
  </si>
  <si>
    <t>Lower 分支：评分=1、itElementRaitConclusionLevelId=Lower、Risk-Control=17条；endpoint 与 Higher 相同</t>
  </si>
  <si>
    <t>评分项 API 映射清单（SAP ECC｜v4 recorder evidence）</t>
  </si>
  <si>
    <t>item_id</t>
  </si>
  <si>
    <t>UI标签</t>
  </si>
  <si>
    <t>适用对象/场景</t>
  </si>
  <si>
    <t>allowed scores</t>
  </si>
  <si>
    <t>max source</t>
  </si>
  <si>
    <t>JSON字段</t>
  </si>
  <si>
    <t>request位置</t>
  </si>
  <si>
    <t>response/read-back位置</t>
  </si>
  <si>
    <t>blocker</t>
  </si>
  <si>
    <t>SAP_ECC.RF.DISPLAY_ORDER_02</t>
  </si>
  <si>
    <t>对业务和财务报告影响的广泛性</t>
  </si>
  <si>
    <t>Application / SAP ECC / GRA / IT风险评估</t>
  </si>
  <si>
    <t>Y（本次 applicable=true）</t>
  </si>
  <si>
    <t>条件：运行时 applicable=true；Lower写1</t>
  </si>
  <si>
    <t>1|2|3|4</t>
  </si>
  <si>
    <t>max(response.riskLevelSpectrum[].value)=4（本次Pack）</t>
  </si>
  <si>
    <t>identity=response.id + inkContentId；allowed=response.riskLevelSpectrum[]；write=JSON Patch /riskLevel</t>
  </si>
  <si>
    <t>request-164/seq584：/riskLevel name=风险较高,value=4</t>
  </si>
  <si>
    <t>PATCH response.riskLevel=4；request-180 riskFactors[] read-back=4</t>
  </si>
  <si>
    <t>request-164/seq584/HTTP 200；request-180/seq677</t>
  </si>
  <si>
    <t>Higher写入/响应/列表读回已证实；Lower经产品批准复用同一合同</t>
  </si>
  <si>
    <t>Lower按 riskLevelSpectrum 选 value=1、写后读回；submit 后确认 EvaluationComplete</t>
  </si>
  <si>
    <t>运行时按 item identity 唯一定位，不保存当前GRA实例ID；Higher动态取max，Lower取value=1；applicable=false则跳过。</t>
  </si>
  <si>
    <t>SAP_ECC.RF.DISPLAY_ORDER_03</t>
  </si>
  <si>
    <t>源数据 (数量和复杂度)</t>
  </si>
  <si>
    <t>request-165/seq585：/riskLevel name=风险较高,value=4</t>
  </si>
  <si>
    <t>request-165/seq585/HTTP 200；request-180/seq677</t>
  </si>
  <si>
    <t>SAP_ECC.RF.DISPLAY_ORDER_04</t>
  </si>
  <si>
    <t>自动化控制 (控制数量和复杂度)</t>
  </si>
  <si>
    <t>request-166/seq586：/riskLevel name=风险较高,value=4</t>
  </si>
  <si>
    <t>request-166/seq586/HTTP 200；request-180/seq677</t>
  </si>
  <si>
    <t>SAP_ECC.RF.DISPLAY_ORDER_05</t>
  </si>
  <si>
    <t>自动化报告逻辑 (简单或复杂的内部信息或 IUC)</t>
  </si>
  <si>
    <t>request-167/seq587：/riskLevel name=风险较高,value=4</t>
  </si>
  <si>
    <t>request-167/seq587/HTTP 200；request-180/seq677</t>
  </si>
  <si>
    <t>SAP_ECC.RF.DISPLAY_ORDER_06</t>
  </si>
  <si>
    <t>高度自动的无纸化处理</t>
  </si>
  <si>
    <t>request-168/seq588：/riskLevel name=风险较高,value=4</t>
  </si>
  <si>
    <t>request-168/seq588/HTTP 200；request-180/seq677</t>
  </si>
  <si>
    <t>SAP_ECC.RF.DISPLAY_ORDER_07</t>
  </si>
  <si>
    <t>数据输入和接口 (数据输入的数量和接口的复杂度)</t>
  </si>
  <si>
    <t>request-169/seq589：/riskLevel name=风险较高,value=4</t>
  </si>
  <si>
    <t>request-169/seq589/HTTP 200；request-180/seq677</t>
  </si>
  <si>
    <t>SAP_ECC.RF.DISPLAY_ORDER_08</t>
  </si>
  <si>
    <t>财务报告相关自动化的历史错误</t>
  </si>
  <si>
    <t>request-170/seq590：/riskLevel name=风险较高,value=4</t>
  </si>
  <si>
    <t>request-170/seq590/HTTP 200；request-180/seq677</t>
  </si>
  <si>
    <t>SAP_ECC.RF.DISPLAY_ORDER_09</t>
  </si>
  <si>
    <t>技术平台或体系结构 (成熟度，稳定性和 / 或复杂度)</t>
  </si>
  <si>
    <t>request-171/seq591：/riskLevel name=风险较高,value=4</t>
  </si>
  <si>
    <t>request-171/seq591/HTTP 200；request-180/seq677</t>
  </si>
  <si>
    <t>SAP_ECC.RF.DISPLAY_ORDER_10</t>
  </si>
  <si>
    <t>终端用户访问 (具有财务信息更新访问权限的用户数量)</t>
  </si>
  <si>
    <t>request-172/seq592：/riskLevel name=风险较高,value=4</t>
  </si>
  <si>
    <t>request-172/seq592/HTTP 200；request-180/seq677</t>
  </si>
  <si>
    <t>SAP_ECC.RF.DISPLAY_ORDER_11</t>
  </si>
  <si>
    <t>应用类型 (外购或定制开发)</t>
  </si>
  <si>
    <t>request-173/seq593：/riskLevel name=风险较高,value=4</t>
  </si>
  <si>
    <t>request-173/seq593/HTTP 200；request-180/seq677</t>
  </si>
  <si>
    <t>SAP_ECC.RF.DISPLAY_ORDER_12</t>
  </si>
  <si>
    <t>变更的数量和性质 (数量和复杂度)</t>
  </si>
  <si>
    <t>request-174/seq594：/riskLevel name=风险较高,value=4</t>
  </si>
  <si>
    <t>request-174/seq594/HTTP 200；request-180/seq677</t>
  </si>
  <si>
    <t>SAP_ECC.RF.DISPLAY_ORDER_13</t>
  </si>
  <si>
    <t>数据转换 (如果适用，次要或主要)</t>
  </si>
  <si>
    <t>N（本次 applicable=false）</t>
  </si>
  <si>
    <t>无写入：本次 applicable=false</t>
  </si>
  <si>
    <t>request-180：applicable=false，riskLevel=null；allowed=1|2|3|4</t>
  </si>
  <si>
    <t>request-180/seq677</t>
  </si>
  <si>
    <t>元数据已证实-本次不适用</t>
  </si>
  <si>
    <t>运行时不适用则跳过；不得强制写入</t>
  </si>
  <si>
    <t>SAP_ECC.RF.DISPLAY_ORDER_14</t>
  </si>
  <si>
    <t>系统任务的使用 (数量和复杂度)</t>
  </si>
  <si>
    <t>request-175/seq595：/riskLevel name=风险较高,value=4</t>
  </si>
  <si>
    <t>request-175/seq595/HTTP 200；request-180/seq677</t>
  </si>
  <si>
    <t>SAP_ECC.RF.DISPLAY_ORDER_15</t>
  </si>
  <si>
    <t>安全的复杂度</t>
  </si>
  <si>
    <t>request-176/seq596：/riskLevel name=风险较高,value=4</t>
  </si>
  <si>
    <t>request-176/seq596/HTTP 200；request-180/seq677</t>
  </si>
  <si>
    <t>SAP_ECC.RF.DISPLAY_ORDER_16</t>
  </si>
  <si>
    <t>第三方托管 / 资源外包 (能力和成熟度)</t>
  </si>
  <si>
    <t>request-177/seq597：/riskLevel name=风险较高,value=4</t>
  </si>
  <si>
    <t>request-177/seq597/HTTP 200；request-180/seq677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</si>
</sst>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6" x14ac:knownFonts="1">
    <font>
      <sz val="11"/>
      <name val="Carlito"/>
    </font>
    <font>
      <b/>
      <sz val="16"/>
      <color rgb="FFFFFFFF"/>
      <name val="Carlito"/>
    </font>
    <font>
      <i/>
      <sz val="11"/>
      <color rgb="FF1F2937"/>
      <name val="Carlito"/>
    </font>
    <font>
      <b/>
      <sz val="11"/>
      <color rgb="FFFFFFFF"/>
      <name val="Carlito"/>
    </font>
    <font>
      <sz val="10"/>
      <color rgb="FF1F2937"/>
      <name val="Carlito"/>
    </font>
    <font>
      <b/>
      <sz val="18"/>
      <color rgb="FFFFFFFF"/>
      <name val="Carlito"/>
    </font>
    <font>
      <b/>
      <sz val="12"/>
      <color rgb="FFFFFFFF"/>
      <name val="Carlito"/>
    </font>
    <font>
      <b/>
      <sz val="11"/>
      <name val="Carlito"/>
    </font>
    <font>
      <b/>
      <sz val="16"/>
      <color rgb="FF17324D"/>
      <name val="Carlito"/>
    </font>
    <font>
      <b/>
      <sz val="11"/>
      <color rgb="FF17324D"/>
      <name val="Carlito"/>
    </font>
    <font>
      <sz val="11"/>
      <name val="Carlito"/>
    </font>
    <font>
      <i/>
      <sz val="10"/>
      <color rgb="FF44546A"/>
      <name val="Carlito"/>
    </font>
    <font>
      <b/>
      <sz val="10"/>
      <color rgb="FFFFFFFF"/>
      <name val="Carlito"/>
    </font>
    <font>
      <sz val="9"/>
      <name val="Carlito"/>
    </font>
    <font>
      <sz val="9"/>
      <color rgb="FF7F6000"/>
      <name val="Carlito"/>
    </font>
    <font>
      <sz val="9"/>
      <name val="宋体"/>
      <family val="3"/>
      <charset val="134"/>
    </font>
  </fonts>
  <fills count="19">
    <fill>
      <patternFill patternType="none"/>
    </fill>
    <fill>
      <patternFill patternType="gray125"/>
    </fill>
    <fill>
      <patternFill patternType="solid">
        <fgColor rgb="FF17324D"/>
      </patternFill>
    </fill>
    <fill>
      <patternFill patternType="solid">
        <fgColor rgb="FFEAF2F8"/>
      </patternFill>
    </fill>
    <fill>
      <patternFill patternType="solid">
        <fgColor rgb="FF0F766E"/>
      </patternFill>
    </fill>
    <fill>
      <patternFill patternType="solid">
        <fgColor rgb="FFFFF2CC"/>
      </patternFill>
    </fill>
    <fill>
      <patternFill patternType="solid">
        <fgColor rgb="FFDCE6F1"/>
      </patternFill>
    </fill>
    <fill>
      <patternFill patternType="solid">
        <fgColor rgb="FFE2F0D9"/>
      </patternFill>
    </fill>
    <fill>
      <patternFill patternType="solid">
        <fgColor rgb="FFF2F2F2"/>
      </patternFill>
    </fill>
    <fill>
      <patternFill patternType="solid">
        <fgColor rgb="FF183651"/>
      </patternFill>
    </fill>
    <fill>
      <patternFill patternType="solid">
        <fgColor rgb="FFEAF2F8"/>
      </patternFill>
    </fill>
    <fill>
      <patternFill patternType="solid">
        <fgColor rgb="FF0E7C73"/>
      </patternFill>
    </fill>
    <fill>
      <patternFill patternType="solid">
        <fgColor rgb="FFD9EEF7"/>
      </patternFill>
    </fill>
    <fill>
      <patternFill patternType="solid">
        <fgColor rgb="FFFFF2CC"/>
      </patternFill>
    </fill>
    <fill>
      <patternFill patternType="solid">
        <fgColor rgb="FFF3F6F9"/>
      </patternFill>
    </fill>
    <fill>
      <patternFill patternType="solid">
        <fgColor rgb="FFD9EEF7"/>
      </patternFill>
    </fill>
    <fill>
      <patternFill patternType="solid">
        <fgColor rgb="FFEAF2F8"/>
      </patternFill>
    </fill>
    <fill>
      <patternFill patternType="solid">
        <fgColor rgb="FFFFF2CC"/>
      </patternFill>
    </fill>
    <fill>
      <patternFill patternType="solid">
        <fgColor rgb="FFF3F6F9"/>
      </patternFill>
    </fill>
  </fills>
  <borders count="26">
    <border>
      <left/>
      <right/>
      <top/>
      <bottom/>
      <diagonal/>
    </border>
    <border>
      <left style="thin">
        <color rgb="FFC9D2DC"/>
      </left>
      <right/>
      <top style="thin">
        <color rgb="FFC9D2DC"/>
      </top>
      <bottom style="thin">
        <color rgb="FFC9D2DC"/>
      </bottom>
      <diagonal/>
    </border>
    <border>
      <left/>
      <right/>
      <top style="thin">
        <color rgb="FFC9D2DC"/>
      </top>
      <bottom style="thin">
        <color rgb="FFC9D2DC"/>
      </bottom>
      <diagonal/>
    </border>
    <border>
      <left/>
      <right style="thin">
        <color rgb="FFC9D2DC"/>
      </right>
      <top style="thin">
        <color rgb="FFC9D2DC"/>
      </top>
      <bottom style="thin">
        <color rgb="FFC9D2DC"/>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bottom style="thin">
        <color rgb="FFC9D2DC"/>
      </bottom>
      <diagonal/>
    </border>
    <border>
      <left/>
      <right/>
      <top style="thin">
        <color rgb="FFC9D2DC"/>
      </top>
      <bottom/>
      <diagonal/>
    </border>
    <border>
      <left style="thin">
        <color rgb="FFC9D2DC"/>
      </left>
      <right/>
      <top style="thin">
        <color rgb="FFC9D2DC"/>
      </top>
      <bottom/>
      <diagonal/>
    </border>
    <border>
      <left/>
      <right style="thin">
        <color rgb="FFC9D2DC"/>
      </right>
      <top style="thin">
        <color rgb="FFC9D2DC"/>
      </top>
      <bottom/>
      <diagonal/>
    </border>
    <border>
      <left style="thin">
        <color rgb="FFC9D2DC"/>
      </left>
      <right/>
      <top/>
      <bottom style="thin">
        <color rgb="FFC9D2DC"/>
      </bottom>
      <diagonal/>
    </border>
    <border>
      <left/>
      <right style="thin">
        <color rgb="FFC9D2DC"/>
      </right>
      <top/>
      <bottom style="thin">
        <color rgb="FFC9D2DC"/>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top style="thin">
        <color rgb="FFD9E2F3"/>
      </top>
      <bottom/>
      <diagonal/>
    </border>
    <border>
      <left style="thin">
        <color rgb="FFD9E2F3"/>
      </left>
      <right/>
      <top/>
      <bottom/>
      <diagonal/>
    </border>
    <border>
      <left/>
      <right style="thin">
        <color rgb="FFD9E2F3"/>
      </right>
      <top/>
      <bottom/>
      <diagonal/>
    </border>
    <border>
      <left/>
      <right/>
      <top/>
      <bottom style="thin">
        <color rgb="FFD9E2F3"/>
      </bottom>
      <diagonal/>
    </border>
  </borders>
  <cellStyleXfs count="2">
    <xf numFmtId="0" fontId="0" fillId="0" borderId="0"/>
    <xf numFmtId="0" fontId="10" fillId="0" borderId="0"/>
  </cellStyleXfs>
  <cellXfs count="95">
    <xf numFmtId="0" fontId="0" fillId="0" borderId="0" xfId="0"/>
    <xf numFmtId="0" fontId="3" fillId="4" borderId="0" xfId="1" applyFont="1" applyFill="1"/>
    <xf numFmtId="0" fontId="3" fillId="4" borderId="1" xfId="1" applyFont="1" applyFill="1" applyBorder="1" applyAlignment="1">
      <alignment vertical="center" wrapText="1"/>
    </xf>
    <xf numFmtId="0" fontId="3" fillId="4" borderId="2" xfId="1" applyFont="1" applyFill="1" applyBorder="1" applyAlignment="1">
      <alignment vertical="center" wrapText="1"/>
    </xf>
    <xf numFmtId="0" fontId="3" fillId="4" borderId="3" xfId="1" applyFont="1" applyFill="1" applyBorder="1" applyAlignment="1">
      <alignment vertical="center" wrapText="1"/>
    </xf>
    <xf numFmtId="0" fontId="4" fillId="0" borderId="4" xfId="1" applyFont="1" applyBorder="1" applyAlignment="1">
      <alignment vertical="top" wrapText="1"/>
    </xf>
    <xf numFmtId="0" fontId="4" fillId="0" borderId="5" xfId="1" applyFont="1" applyBorder="1" applyAlignment="1">
      <alignment vertical="top" wrapText="1"/>
    </xf>
    <xf numFmtId="0" fontId="4" fillId="0" borderId="6" xfId="1" applyFont="1" applyBorder="1" applyAlignment="1">
      <alignment vertical="top" wrapText="1"/>
    </xf>
    <xf numFmtId="0" fontId="4" fillId="5" borderId="4" xfId="1" applyFont="1" applyFill="1" applyBorder="1" applyAlignment="1">
      <alignment vertical="top" wrapText="1"/>
    </xf>
    <xf numFmtId="0" fontId="4" fillId="5" borderId="5" xfId="1" applyFont="1" applyFill="1" applyBorder="1" applyAlignment="1">
      <alignment vertical="top" wrapText="1"/>
    </xf>
    <xf numFmtId="0" fontId="4" fillId="5" borderId="6" xfId="1" applyFont="1" applyFill="1" applyBorder="1" applyAlignment="1">
      <alignment vertical="top" wrapText="1"/>
    </xf>
    <xf numFmtId="0" fontId="4" fillId="3" borderId="4" xfId="1" applyFont="1" applyFill="1" applyBorder="1" applyAlignment="1">
      <alignment vertical="top" wrapText="1"/>
    </xf>
    <xf numFmtId="0" fontId="4" fillId="3" borderId="5" xfId="1" applyFont="1" applyFill="1" applyBorder="1" applyAlignment="1">
      <alignment vertical="top" wrapText="1"/>
    </xf>
    <xf numFmtId="0" fontId="4" fillId="3" borderId="6" xfId="1" applyFont="1" applyFill="1" applyBorder="1" applyAlignment="1">
      <alignment vertical="top" wrapText="1"/>
    </xf>
    <xf numFmtId="0" fontId="7" fillId="6" borderId="1" xfId="1" applyFont="1" applyFill="1" applyBorder="1"/>
    <xf numFmtId="0" fontId="0" fillId="0" borderId="7" xfId="1" applyFont="1" applyBorder="1"/>
    <xf numFmtId="0" fontId="0" fillId="0" borderId="2" xfId="1" applyFont="1" applyBorder="1"/>
    <xf numFmtId="0" fontId="0" fillId="0" borderId="8" xfId="1" applyFont="1" applyBorder="1"/>
    <xf numFmtId="0" fontId="0" fillId="0" borderId="7" xfId="1" applyFont="1" applyBorder="1" applyAlignment="1">
      <alignment vertical="top" wrapText="1"/>
    </xf>
    <xf numFmtId="0" fontId="0" fillId="0" borderId="2" xfId="1" applyFont="1" applyBorder="1" applyAlignment="1">
      <alignment vertical="top" wrapText="1"/>
    </xf>
    <xf numFmtId="0" fontId="0" fillId="0" borderId="8" xfId="1" applyFont="1" applyBorder="1" applyAlignment="1">
      <alignment vertical="top" wrapText="1"/>
    </xf>
    <xf numFmtId="176" fontId="0" fillId="0" borderId="2" xfId="1" applyNumberFormat="1" applyFont="1" applyBorder="1"/>
    <xf numFmtId="0" fontId="3" fillId="4" borderId="0" xfId="1" applyFont="1" applyFill="1" applyAlignment="1">
      <alignment wrapText="1"/>
    </xf>
    <xf numFmtId="0" fontId="0" fillId="0" borderId="4" xfId="1" applyFont="1" applyBorder="1" applyAlignment="1">
      <alignment vertical="top" wrapText="1"/>
    </xf>
    <xf numFmtId="0" fontId="0" fillId="0" borderId="5" xfId="1" applyFont="1" applyBorder="1" applyAlignment="1">
      <alignment vertical="top" wrapText="1"/>
    </xf>
    <xf numFmtId="0" fontId="0" fillId="0" borderId="6" xfId="1" applyFont="1" applyBorder="1" applyAlignment="1">
      <alignment vertical="top" wrapText="1"/>
    </xf>
    <xf numFmtId="0" fontId="12" fillId="11" borderId="0" xfId="0" applyFont="1" applyFill="1" applyAlignment="1">
      <alignment wrapText="1"/>
    </xf>
    <xf numFmtId="0" fontId="12" fillId="11" borderId="13" xfId="0" applyFont="1" applyFill="1" applyBorder="1" applyAlignment="1">
      <alignment vertical="center" wrapText="1"/>
    </xf>
    <xf numFmtId="0" fontId="12" fillId="11" borderId="14" xfId="0" applyFont="1" applyFill="1" applyBorder="1" applyAlignment="1">
      <alignment vertical="center" wrapText="1"/>
    </xf>
    <xf numFmtId="0" fontId="12" fillId="11" borderId="15" xfId="0" applyFont="1" applyFill="1" applyBorder="1" applyAlignment="1">
      <alignment vertical="center" wrapText="1"/>
    </xf>
    <xf numFmtId="0" fontId="13" fillId="12" borderId="16" xfId="0" applyFont="1" applyFill="1" applyBorder="1" applyAlignment="1">
      <alignment vertical="top" wrapText="1"/>
    </xf>
    <xf numFmtId="0" fontId="13" fillId="12" borderId="17" xfId="0" applyFont="1" applyFill="1" applyBorder="1" applyAlignment="1">
      <alignment vertical="top" wrapText="1"/>
    </xf>
    <xf numFmtId="0" fontId="13" fillId="10" borderId="17" xfId="0" applyFont="1" applyFill="1" applyBorder="1" applyAlignment="1">
      <alignment vertical="top" wrapText="1"/>
    </xf>
    <xf numFmtId="0" fontId="13" fillId="13" borderId="17" xfId="0" applyFont="1" applyFill="1" applyBorder="1" applyAlignment="1">
      <alignment vertical="top" wrapText="1"/>
    </xf>
    <xf numFmtId="0" fontId="13" fillId="14" borderId="17" xfId="0" applyFont="1" applyFill="1" applyBorder="1" applyAlignment="1">
      <alignment vertical="top" wrapText="1"/>
    </xf>
    <xf numFmtId="0" fontId="13" fillId="14" borderId="18" xfId="0" applyFont="1" applyFill="1" applyBorder="1" applyAlignment="1">
      <alignment vertical="top" wrapText="1"/>
    </xf>
    <xf numFmtId="0" fontId="13" fillId="12" borderId="19" xfId="0" applyFont="1" applyFill="1" applyBorder="1" applyAlignment="1">
      <alignment vertical="top" wrapText="1"/>
    </xf>
    <xf numFmtId="0" fontId="13" fillId="12" borderId="20" xfId="0" applyFont="1" applyFill="1" applyBorder="1" applyAlignment="1">
      <alignment vertical="top" wrapText="1"/>
    </xf>
    <xf numFmtId="0" fontId="13" fillId="10" borderId="20" xfId="0" applyFont="1" applyFill="1" applyBorder="1" applyAlignment="1">
      <alignment vertical="top" wrapText="1"/>
    </xf>
    <xf numFmtId="0" fontId="13" fillId="13" borderId="20" xfId="0" applyFont="1" applyFill="1" applyBorder="1" applyAlignment="1">
      <alignment vertical="top" wrapText="1"/>
    </xf>
    <xf numFmtId="0" fontId="13" fillId="14" borderId="20" xfId="0" applyFont="1" applyFill="1" applyBorder="1" applyAlignment="1">
      <alignment vertical="top" wrapText="1"/>
    </xf>
    <xf numFmtId="0" fontId="13" fillId="14" borderId="21" xfId="0" applyFont="1" applyFill="1" applyBorder="1" applyAlignment="1">
      <alignment vertical="top" wrapText="1"/>
    </xf>
    <xf numFmtId="0" fontId="12" fillId="11" borderId="13" xfId="0" applyFont="1" applyFill="1" applyBorder="1" applyAlignment="1">
      <alignment wrapText="1"/>
    </xf>
    <xf numFmtId="0" fontId="12" fillId="11" borderId="14" xfId="0" applyFont="1" applyFill="1" applyBorder="1" applyAlignment="1">
      <alignment wrapText="1"/>
    </xf>
    <xf numFmtId="0" fontId="12" fillId="11" borderId="15" xfId="0" applyFont="1" applyFill="1" applyBorder="1" applyAlignment="1">
      <alignment wrapText="1"/>
    </xf>
    <xf numFmtId="0" fontId="13" fillId="10" borderId="18" xfId="0" applyFont="1" applyFill="1" applyBorder="1" applyAlignment="1">
      <alignment vertical="top" wrapText="1"/>
    </xf>
    <xf numFmtId="0" fontId="13" fillId="10" borderId="21" xfId="0" applyFont="1" applyFill="1" applyBorder="1" applyAlignment="1">
      <alignment vertical="top" wrapText="1"/>
    </xf>
    <xf numFmtId="0" fontId="12" fillId="11" borderId="23" xfId="0" applyFont="1" applyFill="1" applyBorder="1" applyAlignment="1">
      <alignment wrapText="1"/>
    </xf>
    <xf numFmtId="0" fontId="12" fillId="11" borderId="24" xfId="0" applyFont="1" applyFill="1" applyBorder="1" applyAlignment="1">
      <alignment wrapText="1"/>
    </xf>
    <xf numFmtId="0" fontId="13" fillId="15" borderId="0" xfId="0" applyFont="1" applyFill="1" applyAlignment="1">
      <alignment vertical="top" wrapText="1"/>
    </xf>
    <xf numFmtId="0" fontId="13" fillId="16" borderId="0" xfId="0" applyFont="1" applyFill="1" applyAlignment="1">
      <alignment vertical="top" wrapText="1"/>
    </xf>
    <xf numFmtId="0" fontId="13" fillId="17" borderId="0" xfId="0" applyFont="1" applyFill="1" applyAlignment="1">
      <alignment vertical="top" wrapText="1"/>
    </xf>
    <xf numFmtId="0" fontId="13" fillId="18" borderId="0" xfId="0" applyFont="1" applyFill="1" applyAlignment="1">
      <alignment vertical="top" wrapText="1"/>
    </xf>
    <xf numFmtId="0" fontId="14" fillId="15" borderId="23" xfId="0" applyFont="1" applyFill="1" applyBorder="1" applyAlignment="1">
      <alignment vertical="top" wrapText="1"/>
    </xf>
    <xf numFmtId="0" fontId="14" fillId="15" borderId="0" xfId="0" applyFont="1" applyFill="1" applyAlignment="1">
      <alignment vertical="top" wrapText="1"/>
    </xf>
    <xf numFmtId="0" fontId="14" fillId="15" borderId="15" xfId="0" applyFont="1" applyFill="1" applyBorder="1" applyAlignment="1">
      <alignment vertical="top" wrapText="1"/>
    </xf>
    <xf numFmtId="0" fontId="14" fillId="15" borderId="25" xfId="0" applyFont="1" applyFill="1" applyBorder="1" applyAlignment="1">
      <alignment vertical="top" wrapText="1"/>
    </xf>
    <xf numFmtId="0" fontId="14" fillId="17" borderId="0" xfId="0" applyFont="1" applyFill="1" applyAlignment="1">
      <alignment vertical="top" wrapText="1"/>
    </xf>
    <xf numFmtId="0" fontId="14" fillId="17" borderId="25" xfId="0" applyFont="1" applyFill="1" applyBorder="1" applyAlignment="1">
      <alignment vertical="top" wrapText="1"/>
    </xf>
    <xf numFmtId="0" fontId="14" fillId="16" borderId="0" xfId="0" applyFont="1" applyFill="1" applyAlignment="1">
      <alignment vertical="top" wrapText="1"/>
    </xf>
    <xf numFmtId="0" fontId="14" fillId="16" borderId="24" xfId="0" applyFont="1" applyFill="1" applyBorder="1" applyAlignment="1">
      <alignment vertical="top" wrapText="1"/>
    </xf>
    <xf numFmtId="0" fontId="14" fillId="16" borderId="25" xfId="0" applyFont="1" applyFill="1" applyBorder="1" applyAlignment="1">
      <alignment vertical="top" wrapText="1"/>
    </xf>
    <xf numFmtId="0" fontId="14" fillId="16" borderId="13" xfId="0" applyFont="1" applyFill="1" applyBorder="1" applyAlignment="1">
      <alignment vertical="top" wrapText="1"/>
    </xf>
    <xf numFmtId="0" fontId="0" fillId="8" borderId="2" xfId="1" applyFont="1" applyFill="1" applyBorder="1" applyAlignment="1">
      <alignment wrapText="1"/>
    </xf>
    <xf numFmtId="0" fontId="0" fillId="0" borderId="2" xfId="1" applyFont="1" applyBorder="1" applyAlignment="1">
      <alignment wrapText="1"/>
    </xf>
    <xf numFmtId="0" fontId="0" fillId="8" borderId="8" xfId="1" applyFont="1" applyFill="1" applyBorder="1" applyAlignment="1">
      <alignment wrapText="1"/>
    </xf>
    <xf numFmtId="0" fontId="0" fillId="0" borderId="8" xfId="1" applyFont="1" applyBorder="1" applyAlignment="1">
      <alignment wrapText="1"/>
    </xf>
    <xf numFmtId="0" fontId="7" fillId="6" borderId="0" xfId="1" applyFont="1" applyFill="1" applyAlignment="1">
      <alignment horizontal="center"/>
    </xf>
    <xf numFmtId="0" fontId="8" fillId="7" borderId="9" xfId="1" applyFont="1" applyFill="1" applyBorder="1" applyAlignment="1">
      <alignment horizontal="center" vertical="center"/>
    </xf>
    <xf numFmtId="0" fontId="8" fillId="7" borderId="10" xfId="1" applyFont="1" applyFill="1" applyBorder="1" applyAlignment="1">
      <alignment horizontal="center" vertical="center"/>
    </xf>
    <xf numFmtId="0" fontId="8" fillId="7" borderId="11" xfId="1" applyFont="1" applyFill="1" applyBorder="1" applyAlignment="1">
      <alignment horizontal="center" vertical="center"/>
    </xf>
    <xf numFmtId="0" fontId="8" fillId="7" borderId="12" xfId="1" applyFont="1" applyFill="1" applyBorder="1" applyAlignment="1">
      <alignment horizontal="center" vertical="center"/>
    </xf>
    <xf numFmtId="0" fontId="6" fillId="4" borderId="0" xfId="1" applyFont="1" applyFill="1"/>
    <xf numFmtId="0" fontId="0" fillId="0" borderId="0" xfId="0"/>
    <xf numFmtId="0" fontId="0" fillId="8" borderId="7" xfId="1" applyFont="1" applyFill="1" applyBorder="1" applyAlignment="1">
      <alignment wrapText="1"/>
    </xf>
    <xf numFmtId="0" fontId="0" fillId="0" borderId="7" xfId="1" applyFont="1" applyBorder="1" applyAlignment="1">
      <alignment wrapText="1"/>
    </xf>
    <xf numFmtId="0" fontId="0" fillId="5" borderId="2" xfId="1" applyFont="1" applyFill="1" applyBorder="1" applyAlignment="1">
      <alignment vertical="top" wrapText="1"/>
    </xf>
    <xf numFmtId="0" fontId="0" fillId="0" borderId="2" xfId="1" applyFont="1" applyBorder="1" applyAlignment="1">
      <alignment vertical="top" wrapText="1"/>
    </xf>
    <xf numFmtId="0" fontId="0" fillId="5" borderId="8" xfId="1" applyFont="1" applyFill="1" applyBorder="1" applyAlignment="1">
      <alignment vertical="top" wrapText="1"/>
    </xf>
    <xf numFmtId="0" fontId="0" fillId="0" borderId="8" xfId="1" applyFont="1" applyBorder="1" applyAlignment="1">
      <alignment vertical="top" wrapText="1"/>
    </xf>
    <xf numFmtId="0" fontId="0" fillId="5" borderId="7" xfId="1" applyFont="1" applyFill="1" applyBorder="1" applyAlignment="1">
      <alignment vertical="top" wrapText="1"/>
    </xf>
    <xf numFmtId="0" fontId="0" fillId="0" borderId="7" xfId="1" applyFont="1" applyBorder="1" applyAlignment="1">
      <alignment vertical="top" wrapText="1"/>
    </xf>
    <xf numFmtId="0" fontId="5" fillId="2" borderId="0" xfId="1" applyFont="1" applyFill="1" applyAlignment="1">
      <alignment vertical="center"/>
    </xf>
    <xf numFmtId="0" fontId="7" fillId="6" borderId="2" xfId="1" applyFont="1" applyFill="1" applyBorder="1"/>
    <xf numFmtId="0" fontId="7" fillId="6" borderId="3" xfId="1" applyFont="1" applyFill="1" applyBorder="1"/>
    <xf numFmtId="0" fontId="1" fillId="2" borderId="0" xfId="1" applyFont="1" applyFill="1" applyAlignment="1">
      <alignment vertical="center"/>
    </xf>
    <xf numFmtId="0" fontId="2" fillId="3" borderId="0" xfId="1" applyFont="1" applyFill="1" applyAlignment="1">
      <alignment vertical="center" wrapText="1"/>
    </xf>
    <xf numFmtId="0" fontId="9" fillId="6" borderId="0" xfId="1" applyFont="1" applyFill="1"/>
    <xf numFmtId="0" fontId="1" fillId="2" borderId="0" xfId="1" applyFont="1" applyFill="1"/>
    <xf numFmtId="0" fontId="0" fillId="3" borderId="0" xfId="1" applyFont="1" applyFill="1" applyAlignment="1">
      <alignment wrapText="1"/>
    </xf>
    <xf numFmtId="0" fontId="1" fillId="9" borderId="0" xfId="0" applyFont="1" applyFill="1" applyAlignment="1">
      <alignment vertical="center"/>
    </xf>
    <xf numFmtId="0" fontId="11" fillId="10" borderId="0" xfId="0" applyFont="1" applyFill="1" applyAlignment="1">
      <alignment wrapText="1"/>
    </xf>
    <xf numFmtId="0" fontId="6" fillId="9" borderId="21" xfId="0" applyFont="1" applyFill="1" applyBorder="1"/>
    <xf numFmtId="0" fontId="6" fillId="9" borderId="22" xfId="0" applyFont="1" applyFill="1" applyBorder="1"/>
    <xf numFmtId="0" fontId="6" fillId="9" borderId="19" xfId="0" applyFont="1" applyFill="1" applyBorder="1"/>
  </cellXfs>
  <cellStyles count="2">
    <cellStyle name="Normal" xfId="1" xr:uid="{00000000-0005-0000-0000-000000000000}"/>
    <cellStyle name="常规" xfId="0" builtinId="0"/>
  </cellStyles>
  <dxfs count="5">
    <dxf>
      <font>
        <color rgb="FF9C0006"/>
      </font>
      <fill>
        <patternFill>
          <bgColor rgb="FFFCE4D6"/>
        </patternFill>
      </fill>
    </dxf>
    <dxf>
      <font>
        <b/>
        <color rgb="FF9C0006"/>
      </font>
      <fill>
        <patternFill>
          <bgColor rgb="FFF4CCCC"/>
        </patternFill>
      </fill>
    </dxf>
    <dxf>
      <font>
        <color rgb="FF006100"/>
      </font>
      <fill>
        <patternFill>
          <bgColor rgb="FFE2F0D9"/>
        </patternFill>
      </fill>
    </dxf>
    <dxf>
      <font>
        <b/>
        <color rgb="FF9C0006"/>
      </font>
      <fill>
        <patternFill>
          <bgColor rgb="FFF4CCCC"/>
        </patternFill>
      </fill>
    </dxf>
    <dxf>
      <font>
        <color rgb="FF9C0006"/>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ase1FieldMaster" displayName="Phase1FieldMaster" ref="A4:V191" totalsRowShown="0">
  <autoFilter ref="A4:V191" xr:uid="{00000000-0009-0000-0100-000001000000}"/>
  <tableColumns count="22">
    <tableColumn id="1" xr3:uid="{00000000-0010-0000-0000-000001000000}" name="field_id"/>
    <tableColumn id="2" xr3:uid="{00000000-0010-0000-0000-000002000000}" name="Phase"/>
    <tableColumn id="3" xr3:uid="{00000000-0010-0000-0000-000003000000}" name="场景/对象类型"/>
    <tableColumn id="4" xr3:uid="{00000000-0010-0000-0000-000004000000}" name="对象子类型/区段"/>
    <tableColumn id="5" xr3:uid="{00000000-0010-0000-0000-000005000000}" name="Higher适用"/>
    <tableColumn id="6" xr3:uid="{00000000-0010-0000-0000-000006000000}" name="Lower适用"/>
    <tableColumn id="7" xr3:uid="{00000000-0010-0000-0000-000007000000}" name="Omnia UI标准字段名"/>
    <tableColumn id="8" xr3:uid="{00000000-0010-0000-0000-000008000000}" name="字段用途"/>
    <tableColumn id="9" xr3:uid="{00000000-0010-0000-0000-000009000000}" name="填写责任/方式"/>
    <tableColumn id="10" xr3:uid="{00000000-0010-0000-0000-00000A000000}" name="必填规则"/>
    <tableColumn id="11" xr3:uid="{00000000-0010-0000-0000-00000B000000}" name="无资料时默认/回退"/>
    <tableColumn id="12" xr3:uid="{00000000-0010-0000-0000-00000C000000}" name="允许值"/>
    <tableColumn id="13" xr3:uid="{00000000-0010-0000-0000-00000D000000}" name="evidence_type"/>
    <tableColumn id="14" xr3:uid="{00000000-0010-0000-0000-00000E000000}" name="v4 JSON key/path"/>
    <tableColumn id="15" xr3:uid="{00000000-0010-0000-0000-00000F000000}" name="v4 endpoint+method / connector"/>
    <tableColumn id="16" xr3:uid="{00000000-0010-0000-0000-000010000000}" name="请求/响应位置"/>
    <tableColumn id="17" xr3:uid="{00000000-0010-0000-0000-000011000000}" name="v4 DOM/selector"/>
    <tableColumn id="18" xr3:uid="{00000000-0010-0000-0000-000012000000}" name="v4证据路径+行号"/>
    <tableColumn id="19" xr3:uid="{00000000-0010-0000-0000-000013000000}" name="证据状态/置信度"/>
    <tableColumn id="20" xr3:uid="{00000000-0010-0000-0000-000014000000}" name="校验规则"/>
    <tableColumn id="21" xr3:uid="{00000000-0010-0000-0000-000015000000}" name="source_trace_id"/>
    <tableColumn id="22" xr3:uid="{00000000-0010-0000-0000-000016000000}" name="备注"/>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iskControlRelations" displayName="RiskControlRelations" ref="A4:V72" totalsRowShown="0">
  <autoFilter ref="A4:V72" xr:uid="{00000000-0009-0000-0100-000002000000}"/>
  <tableColumns count="22">
    <tableColumn id="1" xr3:uid="{00000000-0010-0000-0100-000001000000}" name="relation_id"/>
    <tableColumn id="2" xr3:uid="{00000000-0010-0000-0100-000002000000}" name="risk_field_id"/>
    <tableColumn id="3" xr3:uid="{00000000-0010-0000-0100-000003000000}" name="Risk标准名"/>
    <tableColumn id="4" xr3:uid="{00000000-0010-0000-0100-000004000000}" name="control_field_id"/>
    <tableColumn id="5" xr3:uid="{00000000-0010-0000-0100-000005000000}" name="Control标准名"/>
    <tableColumn id="6" xr3:uid="{00000000-0010-0000-0100-000006000000}" name="关系类型/方向"/>
    <tableColumn id="7" xr3:uid="{00000000-0010-0000-0100-000007000000}" name="catalog_present_higher"/>
    <tableColumn id="8" xr3:uid="{00000000-0010-0000-0100-000008000000}" name="catalog_present_lower"/>
    <tableColumn id="9" xr3:uid="{00000000-0010-0000-0100-000009000000}" name="link_required_higher"/>
    <tableColumn id="10" xr3:uid="{00000000-0010-0000-0100-00000A000000}" name="link_required_lower"/>
    <tableColumn id="11" xr3:uid="{00000000-0010-0000-0100-00000B000000}" name="classification_higher"/>
    <tableColumn id="12" xr3:uid="{00000000-0010-0000-0100-00000C000000}" name="classification_lower"/>
    <tableColumn id="13" xr3:uid="{00000000-0010-0000-0100-00000D000000}" name="执行适用层级"/>
    <tableColumn id="14" xr3:uid="{00000000-0010-0000-0100-00000E000000}" name="适用场景/对象类型"/>
    <tableColumn id="15" xr3:uid="{00000000-0010-0000-0100-00000F000000}" name="是否必需"/>
    <tableColumn id="16" xr3:uid="{00000000-0010-0000-0100-000010000000}" name="无资料时策略"/>
    <tableColumn id="17" xr3:uid="{00000000-0010-0000-0100-000011000000}" name="v4 evidence_type"/>
    <tableColumn id="18" xr3:uid="{00000000-0010-0000-0100-000012000000}" name="v4 JSON/API/DOM/connector路径"/>
    <tableColumn id="19" xr3:uid="{00000000-0010-0000-0100-000013000000}" name="证据文件+行号"/>
    <tableColumn id="20" xr3:uid="{00000000-0010-0000-0100-000014000000}" name="确认状态"/>
    <tableColumn id="21" xr3:uid="{00000000-0010-0000-0100-000015000000}" name="source_trace_id"/>
    <tableColumn id="22" xr3:uid="{00000000-0010-0000-0100-000016000000}" name="备注"/>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4InterfaceEvidence" displayName="V4InterfaceEvidence" ref="A4:K25" totalsRowShown="0">
  <autoFilter ref="A4:K25" xr:uid="{00000000-0009-0000-0100-000003000000}"/>
  <tableColumns count="11">
    <tableColumn id="1" xr3:uid="{00000000-0010-0000-0200-000001000000}" name="evidence_id"/>
    <tableColumn id="2" xr3:uid="{00000000-0010-0000-0200-000002000000}" name="operation"/>
    <tableColumn id="3" xr3:uid="{00000000-0010-0000-0200-000003000000}" name="evidence_type"/>
    <tableColumn id="4" xr3:uid="{00000000-0010-0000-0200-000004000000}" name="endpoint/method/connector operation"/>
    <tableColumn id="5" xr3:uid="{00000000-0010-0000-0200-000005000000}" name="payload/response/DOM"/>
    <tableColumn id="6" xr3:uid="{00000000-0010-0000-0200-000006000000}" name="调用入口"/>
    <tableColumn id="7" xr3:uid="{00000000-0010-0000-0200-000007000000}" name="证据位置"/>
    <tableColumn id="8" xr3:uid="{00000000-0010-0000-0200-000008000000}" name="适用功能"/>
    <tableColumn id="9" xr3:uid="{00000000-0010-0000-0200-000009000000}" name="确认状态"/>
    <tableColumn id="10" xr3:uid="{00000000-0010-0000-0200-00000A000000}" name="置信说明"/>
    <tableColumn id="11" xr3:uid="{00000000-0010-0000-0200-00000B000000}" name="备注"/>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hase1Rules" displayName="Phase1Rules" ref="A4:H26" totalsRowShown="0">
  <autoFilter ref="A4:H26" xr:uid="{00000000-0009-0000-0100-000004000000}"/>
  <tableColumns count="8">
    <tableColumn id="1" xr3:uid="{00000000-0010-0000-0300-000001000000}" name="rule_id"/>
    <tableColumn id="2" xr3:uid="{00000000-0010-0000-0300-000002000000}" name="治理键"/>
    <tableColumn id="3" xr3:uid="{00000000-0010-0000-0300-000003000000}" name="规则类型"/>
    <tableColumn id="4" xr3:uid="{00000000-0010-0000-0300-000004000000}" name="适用字段/对象"/>
    <tableColumn id="5" xr3:uid="{00000000-0010-0000-0300-000005000000}" name="默认/枚举/逻辑"/>
    <tableColumn id="6" xr3:uid="{00000000-0010-0000-0300-000006000000}" name="无资料时回退/阻断策略"/>
    <tableColumn id="7" xr3:uid="{00000000-0010-0000-0300-000007000000}" name="依据"/>
    <tableColumn id="8" xr3:uid="{00000000-0010-0000-0300-000008000000}" name="确认状态"/>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ourceTrace" displayName="SourceTrace" ref="A4:P255" totalsRowShown="0">
  <autoFilter ref="A4:P255" xr:uid="{00000000-0009-0000-0100-000005000000}"/>
  <tableColumns count="16">
    <tableColumn id="1" xr3:uid="{00000000-0010-0000-0400-000001000000}" name="trace_item_id"/>
    <tableColumn id="2" xr3:uid="{00000000-0010-0000-0400-000002000000}" name="source_file"/>
    <tableColumn id="3" xr3:uid="{00000000-0010-0000-0400-000003000000}" name="source_sheet"/>
    <tableColumn id="4" xr3:uid="{00000000-0010-0000-0400-000004000000}" name="source_row"/>
    <tableColumn id="5" xr3:uid="{00000000-0010-0000-0400-000005000000}" name="行角色"/>
    <tableColumn id="6" xr3:uid="{00000000-0010-0000-0400-000006000000}" name="源对象类型"/>
    <tableColumn id="7" xr3:uid="{00000000-0010-0000-0400-000007000000}" name="源区段/子类型"/>
    <tableColumn id="8" xr3:uid="{00000000-0010-0000-0400-000008000000}" name="源字段/编号"/>
    <tableColumn id="9" xr3:uid="{00000000-0010-0000-0400-000009000000}" name="原始描述/汇总"/>
    <tableColumn id="10" xr3:uid="{00000000-0010-0000-0400-00000A000000}" name="原始填写方式/评估"/>
    <tableColumn id="11" xr3:uid="{00000000-0010-0000-0400-00000B000000}" name="原始示例/关系"/>
    <tableColumn id="12" xr3:uid="{00000000-0010-0000-0400-00000C000000}" name="原始Higher/非AI校验"/>
    <tableColumn id="13" xr3:uid="{00000000-0010-0000-0400-00000D000000}" name="原始Lower/AI校验"/>
    <tableColumn id="14" xr3:uid="{00000000-0010-0000-0400-00000E000000}" name="master_field_id"/>
    <tableColumn id="15" xr3:uid="{00000000-0010-0000-0400-00000F000000}" name="追溯状态"/>
    <tableColumn id="16" xr3:uid="{00000000-0010-0000-0400-000010000000}" name="备注"/>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apEccRecordingEvidence" displayName="SapEccRecordingEvidence" ref="A4:L22" totalsRowShown="0">
  <tableColumns count="12">
    <tableColumn id="1" xr3:uid="{00000000-0010-0000-0500-000001000000}" name="evidence_id"/>
    <tableColumn id="2" xr3:uid="{00000000-0010-0000-0500-000002000000}" name="动作/规则"/>
    <tableColumn id="3" xr3:uid="{00000000-0010-0000-0500-000003000000}" name="适用对象"/>
    <tableColumn id="4" xr3:uid="{00000000-0010-0000-0500-000004000000}" name="method + endpoint"/>
    <tableColumn id="5" xr3:uid="{00000000-0010-0000-0500-000005000000}" name="request 字段"/>
    <tableColumn id="6" xr3:uid="{00000000-0010-0000-0500-000006000000}" name="response/read-back 字段"/>
    <tableColumn id="7" xr3:uid="{00000000-0010-0000-0500-000007000000}" name="录制事件"/>
    <tableColumn id="8" xr3:uid="{00000000-0010-0000-0500-000008000000}" name="证据状态"/>
    <tableColumn id="9" xr3:uid="{00000000-0010-0000-0500-000009000000}" name="可支持的结论"/>
    <tableColumn id="10" xr3:uid="{00000000-0010-0000-0500-00000A000000}" name="缺口/阻断"/>
    <tableColumn id="11" xr3:uid="{00000000-0010-0000-0500-00000B000000}" name="修复/补录要求"/>
    <tableColumn id="12" xr3:uid="{00000000-0010-0000-0500-00000C000000}" name="备注"/>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aitScoringPolicy" displayName="RaitScoringPolicy" ref="A4:O6" totalsRowShown="0">
  <tableColumns count="15">
    <tableColumn id="1" xr3:uid="{00000000-0010-0000-0600-000001000000}" name="rule_id"/>
    <tableColumn id="2" xr3:uid="{00000000-0010-0000-0600-000002000000}" name="RAIT"/>
    <tableColumn id="3" xr3:uid="{00000000-0010-0000-0600-000003000000}" name="适用范围"/>
    <tableColumn id="4" xr3:uid="{00000000-0010-0000-0600-000004000000}" name="取值方式"/>
    <tableColumn id="5" xr3:uid="{00000000-0010-0000-0600-000005000000}" name="目标值"/>
    <tableColumn id="6" xr3:uid="{00000000-0010-0000-0600-000006000000}" name="允许范围来源"/>
    <tableColumn id="7" xr3:uid="{00000000-0010-0000-0600-000007000000}" name="最高分来源"/>
    <tableColumn id="8" xr3:uid="{00000000-0010-0000-0600-000008000000}" name="1分校验"/>
    <tableColumn id="9" xr3:uid="{00000000-0010-0000-0600-000009000000}" name="API/JSON字段"/>
    <tableColumn id="10" xr3:uid="{00000000-0010-0000-0600-00000A000000}" name="endpoint+method"/>
    <tableColumn id="11" xr3:uid="{00000000-0010-0000-0600-00000B000000}" name="write/read-back"/>
    <tableColumn id="12" xr3:uid="{00000000-0010-0000-0600-00000C000000}" name="证据状态"/>
    <tableColumn id="13" xr3:uid="{00000000-0010-0000-0600-00000D000000}" name="执行门禁"/>
    <tableColumn id="14" xr3:uid="{00000000-0010-0000-0600-00000E000000}" name="source_trace_id"/>
    <tableColumn id="15" xr3:uid="{00000000-0010-0000-0600-00000F000000}" name="备注"/>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apEccV4ScoringEvidence" displayName="SapEccV4ScoringEvidence" ref="A10:O25" totalsRowShown="0">
  <tableColumns count="15">
    <tableColumn id="1" xr3:uid="{00000000-0010-0000-0700-000001000000}" name="item_id"/>
    <tableColumn id="2" xr3:uid="{00000000-0010-0000-0700-000002000000}" name="UI标签"/>
    <tableColumn id="3" xr3:uid="{00000000-0010-0000-0700-000003000000}" name="适用对象/场景"/>
    <tableColumn id="4" xr3:uid="{00000000-0010-0000-0700-000004000000}" name="Higher适用"/>
    <tableColumn id="5" xr3:uid="{00000000-0010-0000-0700-000005000000}" name="Lower适用"/>
    <tableColumn id="6" xr3:uid="{00000000-0010-0000-0700-000006000000}" name="allowed scores"/>
    <tableColumn id="7" xr3:uid="{00000000-0010-0000-0700-000007000000}" name="max source"/>
    <tableColumn id="8" xr3:uid="{00000000-0010-0000-0700-000008000000}" name="JSON字段"/>
    <tableColumn id="9" xr3:uid="{00000000-0010-0000-0700-000009000000}" name="endpoint+method"/>
    <tableColumn id="10" xr3:uid="{00000000-0010-0000-0700-00000A000000}" name="request位置"/>
    <tableColumn id="11" xr3:uid="{00000000-0010-0000-0700-00000B000000}" name="response/read-back位置"/>
    <tableColumn id="12" xr3:uid="{00000000-0010-0000-0700-00000C000000}" name="录制事件"/>
    <tableColumn id="13" xr3:uid="{00000000-0010-0000-0700-00000D000000}" name="证据状态"/>
    <tableColumn id="14" xr3:uid="{00000000-0010-0000-0700-00000E000000}" name="blocker"/>
    <tableColumn id="15" xr3:uid="{00000000-0010-0000-0700-00000F000000}"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showGridLines="0" workbookViewId="0">
      <selection sqref="A1:H1"/>
    </sheetView>
  </sheetViews>
  <sheetFormatPr defaultRowHeight="15" x14ac:dyDescent="0.25"/>
  <cols>
    <col min="1" max="4" width="15" customWidth="1"/>
    <col min="5" max="8" width="18" customWidth="1"/>
  </cols>
  <sheetData>
    <row r="1" spans="1:8" ht="33.950000000000003" customHeight="1" x14ac:dyDescent="0.25">
      <c r="A1" s="82" t="s">
        <v>1581</v>
      </c>
      <c r="B1" s="73" t="s">
        <v>1581</v>
      </c>
      <c r="C1" s="73" t="s">
        <v>1581</v>
      </c>
      <c r="D1" s="73" t="s">
        <v>1581</v>
      </c>
      <c r="E1" s="73" t="s">
        <v>1581</v>
      </c>
      <c r="F1" s="73" t="s">
        <v>1581</v>
      </c>
      <c r="G1" s="73" t="s">
        <v>1581</v>
      </c>
      <c r="H1" s="73" t="s">
        <v>1581</v>
      </c>
    </row>
    <row r="3" spans="1:8" ht="15.75" x14ac:dyDescent="0.25">
      <c r="A3" s="72" t="s">
        <v>0</v>
      </c>
      <c r="B3" s="73"/>
      <c r="C3" s="73"/>
      <c r="D3" s="73"/>
      <c r="E3" s="73"/>
      <c r="F3" s="73"/>
      <c r="G3" s="73"/>
      <c r="H3" s="73"/>
    </row>
    <row r="5" spans="1:8" x14ac:dyDescent="0.25">
      <c r="A5" s="14" t="s">
        <v>1</v>
      </c>
      <c r="B5" s="83" t="s">
        <v>2</v>
      </c>
      <c r="C5" s="83"/>
      <c r="D5" s="83"/>
      <c r="E5" s="83" t="s">
        <v>3</v>
      </c>
      <c r="F5" s="83"/>
      <c r="G5" s="83"/>
      <c r="H5" s="84"/>
    </row>
    <row r="6" spans="1:8" x14ac:dyDescent="0.25">
      <c r="A6" s="18" t="s">
        <v>4</v>
      </c>
      <c r="B6" s="81" t="s">
        <v>5</v>
      </c>
      <c r="C6" s="81"/>
      <c r="D6" s="81"/>
      <c r="E6" s="81" t="s">
        <v>6</v>
      </c>
      <c r="F6" s="81"/>
      <c r="G6" s="81"/>
      <c r="H6" s="81"/>
    </row>
    <row r="7" spans="1:8" x14ac:dyDescent="0.25">
      <c r="A7" s="19" t="s">
        <v>7</v>
      </c>
      <c r="B7" s="77" t="s">
        <v>8</v>
      </c>
      <c r="C7" s="77"/>
      <c r="D7" s="77"/>
      <c r="E7" s="77" t="s">
        <v>9</v>
      </c>
      <c r="F7" s="77"/>
      <c r="G7" s="77"/>
      <c r="H7" s="77"/>
    </row>
    <row r="8" spans="1:8" x14ac:dyDescent="0.25">
      <c r="A8" s="20" t="s">
        <v>10</v>
      </c>
      <c r="B8" s="79" t="s">
        <v>11</v>
      </c>
      <c r="C8" s="79"/>
      <c r="D8" s="79"/>
      <c r="E8" s="79" t="s">
        <v>12</v>
      </c>
      <c r="F8" s="79"/>
      <c r="G8" s="79"/>
      <c r="H8" s="79"/>
    </row>
    <row r="10" spans="1:8" ht="15.75" x14ac:dyDescent="0.25">
      <c r="A10" s="72" t="s">
        <v>13</v>
      </c>
      <c r="B10" s="73"/>
      <c r="C10" s="73"/>
      <c r="D10" s="73"/>
      <c r="E10" s="73"/>
      <c r="F10" s="73"/>
      <c r="G10" s="73"/>
      <c r="H10" s="73"/>
    </row>
    <row r="12" spans="1:8" x14ac:dyDescent="0.25">
      <c r="A12" s="80" t="s">
        <v>14</v>
      </c>
      <c r="B12" s="80"/>
      <c r="C12" s="81" t="s">
        <v>15</v>
      </c>
      <c r="D12" s="81"/>
      <c r="E12" s="81"/>
      <c r="F12" s="81"/>
      <c r="G12" s="81"/>
      <c r="H12" s="81"/>
    </row>
    <row r="13" spans="1:8" x14ac:dyDescent="0.25">
      <c r="A13" s="76" t="s">
        <v>16</v>
      </c>
      <c r="B13" s="76"/>
      <c r="C13" s="77" t="s">
        <v>17</v>
      </c>
      <c r="D13" s="77"/>
      <c r="E13" s="77"/>
      <c r="F13" s="77"/>
      <c r="G13" s="77"/>
      <c r="H13" s="77"/>
    </row>
    <row r="14" spans="1:8" x14ac:dyDescent="0.25">
      <c r="A14" s="76" t="s">
        <v>18</v>
      </c>
      <c r="B14" s="76"/>
      <c r="C14" s="77" t="s">
        <v>19</v>
      </c>
      <c r="D14" s="77"/>
      <c r="E14" s="77"/>
      <c r="F14" s="77"/>
      <c r="G14" s="77"/>
      <c r="H14" s="77"/>
    </row>
    <row r="15" spans="1:8" x14ac:dyDescent="0.25">
      <c r="A15" s="76" t="s">
        <v>20</v>
      </c>
      <c r="B15" s="76"/>
      <c r="C15" s="77" t="s">
        <v>21</v>
      </c>
      <c r="D15" s="77"/>
      <c r="E15" s="77"/>
      <c r="F15" s="77"/>
      <c r="G15" s="77"/>
      <c r="H15" s="77"/>
    </row>
    <row r="16" spans="1:8" x14ac:dyDescent="0.25">
      <c r="A16" s="78" t="s">
        <v>22</v>
      </c>
      <c r="B16" s="78"/>
      <c r="C16" s="79" t="s">
        <v>23</v>
      </c>
      <c r="D16" s="79"/>
      <c r="E16" s="79"/>
      <c r="F16" s="79"/>
      <c r="G16" s="79"/>
      <c r="H16" s="79"/>
    </row>
    <row r="18" spans="1:8" ht="15.75" x14ac:dyDescent="0.25">
      <c r="A18" s="72" t="s">
        <v>24</v>
      </c>
      <c r="B18" s="73"/>
      <c r="C18" s="73"/>
      <c r="D18" s="73"/>
      <c r="E18" s="73"/>
      <c r="F18" s="73"/>
      <c r="G18" s="73"/>
      <c r="H18" s="73"/>
    </row>
    <row r="20" spans="1:8" x14ac:dyDescent="0.25">
      <c r="A20" s="67" t="s">
        <v>25</v>
      </c>
      <c r="B20" s="67"/>
      <c r="C20" s="67" t="s">
        <v>26</v>
      </c>
      <c r="D20" s="67"/>
      <c r="E20" s="67" t="s">
        <v>27</v>
      </c>
      <c r="F20" s="67"/>
      <c r="G20" s="67" t="s">
        <v>28</v>
      </c>
      <c r="H20" s="67"/>
    </row>
    <row r="21" spans="1:8" x14ac:dyDescent="0.25">
      <c r="A21" s="68">
        <f>COUNTA(字段母版!$A$5:$A$191)</f>
        <v>187</v>
      </c>
      <c r="B21" s="69"/>
      <c r="C21" s="68">
        <f>COUNTA('Risk-Control关系'!$A$5:$A$72)</f>
        <v>68</v>
      </c>
      <c r="D21" s="69"/>
      <c r="E21" s="68">
        <f>COUNTIF(原始字段追溯!$E$5:$E$255,"字段")</f>
        <v>180</v>
      </c>
      <c r="F21" s="69"/>
      <c r="G21" s="68">
        <f>COUNTA(V4接口证据!$A$5:$A$25)</f>
        <v>21</v>
      </c>
      <c r="H21" s="69"/>
    </row>
    <row r="22" spans="1:8" x14ac:dyDescent="0.25">
      <c r="A22" s="70"/>
      <c r="B22" s="71"/>
      <c r="C22" s="70"/>
      <c r="D22" s="71"/>
      <c r="E22" s="70"/>
      <c r="F22" s="71"/>
      <c r="G22" s="70"/>
      <c r="H22" s="71"/>
    </row>
    <row r="24" spans="1:8" ht="15.75" x14ac:dyDescent="0.25">
      <c r="A24" s="72" t="s">
        <v>29</v>
      </c>
      <c r="B24" s="73"/>
      <c r="C24" s="73"/>
      <c r="D24" s="73"/>
      <c r="E24" s="73"/>
      <c r="F24" s="73"/>
      <c r="G24" s="73"/>
      <c r="H24" s="73"/>
    </row>
    <row r="26" spans="1:8" x14ac:dyDescent="0.25">
      <c r="A26" s="74" t="s">
        <v>30</v>
      </c>
      <c r="B26" s="74"/>
      <c r="C26" s="75" t="s">
        <v>31</v>
      </c>
      <c r="D26" s="75"/>
      <c r="E26" s="75"/>
      <c r="F26" s="75"/>
      <c r="G26" s="75"/>
      <c r="H26" s="75"/>
    </row>
    <row r="27" spans="1:8" x14ac:dyDescent="0.25">
      <c r="A27" s="63" t="s">
        <v>32</v>
      </c>
      <c r="B27" s="63"/>
      <c r="C27" s="64" t="s">
        <v>33</v>
      </c>
      <c r="D27" s="64"/>
      <c r="E27" s="64"/>
      <c r="F27" s="64"/>
      <c r="G27" s="64"/>
      <c r="H27" s="64"/>
    </row>
    <row r="28" spans="1:8" x14ac:dyDescent="0.25">
      <c r="A28" s="63" t="s">
        <v>34</v>
      </c>
      <c r="B28" s="63"/>
      <c r="C28" s="64" t="s">
        <v>35</v>
      </c>
      <c r="D28" s="64"/>
      <c r="E28" s="64"/>
      <c r="F28" s="64"/>
      <c r="G28" s="64"/>
      <c r="H28" s="64"/>
    </row>
    <row r="29" spans="1:8" x14ac:dyDescent="0.25">
      <c r="A29" s="65" t="s">
        <v>36</v>
      </c>
      <c r="B29" s="65"/>
      <c r="C29" s="66" t="s">
        <v>37</v>
      </c>
      <c r="D29" s="66"/>
      <c r="E29" s="66"/>
      <c r="F29" s="66"/>
      <c r="G29" s="66"/>
      <c r="H29" s="66"/>
    </row>
  </sheetData>
  <mergeCells count="39">
    <mergeCell ref="A1:H1"/>
    <mergeCell ref="A3:H3"/>
    <mergeCell ref="B5:D5"/>
    <mergeCell ref="E5:H5"/>
    <mergeCell ref="B6:D6"/>
    <mergeCell ref="E6:H6"/>
    <mergeCell ref="B7:D7"/>
    <mergeCell ref="E7:H7"/>
    <mergeCell ref="B8:D8"/>
    <mergeCell ref="E8:H8"/>
    <mergeCell ref="A10:H10"/>
    <mergeCell ref="A12:B12"/>
    <mergeCell ref="C12:H12"/>
    <mergeCell ref="A13:B13"/>
    <mergeCell ref="C13:H13"/>
    <mergeCell ref="A14:B14"/>
    <mergeCell ref="C14:H14"/>
    <mergeCell ref="A15:B15"/>
    <mergeCell ref="C15:H15"/>
    <mergeCell ref="A16:B16"/>
    <mergeCell ref="C16:H16"/>
    <mergeCell ref="A18:H18"/>
    <mergeCell ref="G20:H20"/>
    <mergeCell ref="G21:H22"/>
    <mergeCell ref="A24:H24"/>
    <mergeCell ref="A26:B26"/>
    <mergeCell ref="C26:H26"/>
    <mergeCell ref="A20:B20"/>
    <mergeCell ref="A21:B22"/>
    <mergeCell ref="C20:D20"/>
    <mergeCell ref="C21:D22"/>
    <mergeCell ref="E20:F20"/>
    <mergeCell ref="E21:F22"/>
    <mergeCell ref="A27:B27"/>
    <mergeCell ref="C27:H27"/>
    <mergeCell ref="A28:B28"/>
    <mergeCell ref="C28:H28"/>
    <mergeCell ref="A29:B29"/>
    <mergeCell ref="C29:H29"/>
  </mergeCells>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91"/>
  <sheetViews>
    <sheetView showGridLines="0" workbookViewId="0"/>
  </sheetViews>
  <sheetFormatPr defaultRowHeight="15" x14ac:dyDescent="0.25"/>
  <cols>
    <col min="1" max="1" width="31" customWidth="1"/>
    <col min="2" max="2" width="10" customWidth="1"/>
    <col min="3" max="3" width="22" customWidth="1"/>
    <col min="4" max="4" width="26" customWidth="1"/>
    <col min="5" max="6" width="12" customWidth="1"/>
    <col min="7" max="7" width="36" customWidth="1"/>
    <col min="8" max="8" width="38" customWidth="1"/>
    <col min="9" max="9" width="18" customWidth="1"/>
    <col min="10" max="10" width="22" customWidth="1"/>
    <col min="11" max="12" width="28" customWidth="1"/>
    <col min="13" max="13" width="15" customWidth="1"/>
    <col min="14" max="14" width="34" customWidth="1"/>
    <col min="15" max="15" width="42" customWidth="1"/>
    <col min="16" max="16" width="38" customWidth="1"/>
    <col min="17" max="17" width="26" customWidth="1"/>
    <col min="18" max="18" width="44" customWidth="1"/>
    <col min="19" max="19" width="19" customWidth="1"/>
    <col min="20" max="20" width="42" customWidth="1"/>
    <col min="21" max="21" width="24" customWidth="1"/>
    <col min="22" max="22" width="44" customWidth="1"/>
  </cols>
  <sheetData>
    <row r="1" spans="1:22" ht="22.5" customHeight="1" x14ac:dyDescent="0.25">
      <c r="A1" s="85" t="s">
        <v>38</v>
      </c>
      <c r="B1" s="73"/>
      <c r="C1" s="73"/>
      <c r="D1" s="73"/>
      <c r="E1" s="73"/>
      <c r="F1" s="73"/>
      <c r="G1" s="73"/>
      <c r="H1" s="73"/>
      <c r="I1" s="73"/>
      <c r="J1" s="73"/>
      <c r="K1" s="73"/>
      <c r="L1" s="73"/>
      <c r="M1" s="73"/>
      <c r="N1" s="73"/>
      <c r="O1" s="73"/>
      <c r="P1" s="73"/>
      <c r="Q1" s="73"/>
      <c r="R1" s="73"/>
      <c r="S1" s="73"/>
      <c r="T1" s="73"/>
      <c r="U1" s="73"/>
      <c r="V1" s="73"/>
    </row>
    <row r="2" spans="1:22" ht="22.5" customHeight="1" x14ac:dyDescent="0.25">
      <c r="A2" s="86" t="s">
        <v>39</v>
      </c>
      <c r="B2" s="73"/>
      <c r="C2" s="73"/>
      <c r="D2" s="73"/>
      <c r="E2" s="73"/>
      <c r="F2" s="73"/>
      <c r="G2" s="73"/>
      <c r="H2" s="73"/>
      <c r="I2" s="73"/>
      <c r="J2" s="73"/>
      <c r="K2" s="73"/>
      <c r="L2" s="73"/>
      <c r="M2" s="73"/>
      <c r="N2" s="73"/>
      <c r="O2" s="73"/>
      <c r="P2" s="73"/>
      <c r="Q2" s="73"/>
      <c r="R2" s="73"/>
      <c r="S2" s="73"/>
      <c r="T2" s="73"/>
      <c r="U2" s="73"/>
      <c r="V2" s="73"/>
    </row>
    <row r="4" spans="1:22" ht="22.5" customHeight="1" x14ac:dyDescent="0.25">
      <c r="A4" s="2" t="s">
        <v>40</v>
      </c>
      <c r="B4" s="3" t="s">
        <v>41</v>
      </c>
      <c r="C4" s="3" t="s">
        <v>42</v>
      </c>
      <c r="D4" s="3" t="s">
        <v>43</v>
      </c>
      <c r="E4" s="3" t="s">
        <v>44</v>
      </c>
      <c r="F4" s="3" t="s">
        <v>45</v>
      </c>
      <c r="G4" s="3" t="s">
        <v>46</v>
      </c>
      <c r="H4" s="3" t="s">
        <v>47</v>
      </c>
      <c r="I4" s="3" t="s">
        <v>48</v>
      </c>
      <c r="J4" s="3" t="s">
        <v>49</v>
      </c>
      <c r="K4" s="3" t="s">
        <v>50</v>
      </c>
      <c r="L4" s="3" t="s">
        <v>51</v>
      </c>
      <c r="M4" s="3" t="s">
        <v>52</v>
      </c>
      <c r="N4" s="3" t="s">
        <v>53</v>
      </c>
      <c r="O4" s="3" t="s">
        <v>54</v>
      </c>
      <c r="P4" s="3" t="s">
        <v>55</v>
      </c>
      <c r="Q4" s="3" t="s">
        <v>56</v>
      </c>
      <c r="R4" s="3" t="s">
        <v>57</v>
      </c>
      <c r="S4" s="3" t="s">
        <v>58</v>
      </c>
      <c r="T4" s="3" t="s">
        <v>59</v>
      </c>
      <c r="U4" s="3" t="s">
        <v>60</v>
      </c>
      <c r="V4" s="4" t="s">
        <v>61</v>
      </c>
    </row>
    <row r="5" spans="1:22" ht="22.5" customHeight="1" x14ac:dyDescent="0.25">
      <c r="A5" s="5" t="s">
        <v>62</v>
      </c>
      <c r="B5" s="5" t="s">
        <v>63</v>
      </c>
      <c r="C5" s="5" t="s">
        <v>64</v>
      </c>
      <c r="D5" s="5"/>
      <c r="E5" s="5" t="s">
        <v>65</v>
      </c>
      <c r="F5" s="5" t="s">
        <v>65</v>
      </c>
      <c r="G5" s="8" t="s">
        <v>66</v>
      </c>
      <c r="H5" s="8" t="s">
        <v>67</v>
      </c>
      <c r="I5" s="8" t="s">
        <v>68</v>
      </c>
      <c r="J5" s="8" t="s">
        <v>69</v>
      </c>
      <c r="K5" s="8" t="s">
        <v>70</v>
      </c>
      <c r="L5" s="8"/>
      <c r="M5" s="11" t="s">
        <v>71</v>
      </c>
      <c r="N5" s="11" t="s">
        <v>72</v>
      </c>
      <c r="O5" s="11" t="s">
        <v>73</v>
      </c>
      <c r="P5" s="11" t="s">
        <v>74</v>
      </c>
      <c r="Q5" s="11"/>
      <c r="R5" s="11" t="s">
        <v>75</v>
      </c>
      <c r="S5" s="11" t="s">
        <v>30</v>
      </c>
      <c r="T5" s="5" t="s">
        <v>76</v>
      </c>
      <c r="U5" s="5" t="s">
        <v>77</v>
      </c>
      <c r="V5" s="5" t="s">
        <v>78</v>
      </c>
    </row>
    <row r="6" spans="1:22" ht="22.5" customHeight="1" x14ac:dyDescent="0.25">
      <c r="A6" s="6" t="s">
        <v>79</v>
      </c>
      <c r="B6" s="6" t="s">
        <v>63</v>
      </c>
      <c r="C6" s="6" t="s">
        <v>64</v>
      </c>
      <c r="D6" s="6"/>
      <c r="E6" s="6" t="s">
        <v>65</v>
      </c>
      <c r="F6" s="6" t="s">
        <v>65</v>
      </c>
      <c r="G6" s="9" t="s">
        <v>80</v>
      </c>
      <c r="H6" s="9" t="s">
        <v>81</v>
      </c>
      <c r="I6" s="9" t="s">
        <v>82</v>
      </c>
      <c r="J6" s="9" t="s">
        <v>69</v>
      </c>
      <c r="K6" s="9" t="s">
        <v>83</v>
      </c>
      <c r="L6" s="9"/>
      <c r="M6" s="12" t="s">
        <v>84</v>
      </c>
      <c r="N6" s="12" t="s">
        <v>85</v>
      </c>
      <c r="O6" s="12" t="s">
        <v>86</v>
      </c>
      <c r="P6" s="12" t="s">
        <v>87</v>
      </c>
      <c r="Q6" s="12"/>
      <c r="R6" s="12" t="s">
        <v>88</v>
      </c>
      <c r="S6" s="12" t="s">
        <v>30</v>
      </c>
      <c r="T6" s="6"/>
      <c r="U6" s="6" t="s">
        <v>89</v>
      </c>
      <c r="V6" s="6" t="s">
        <v>90</v>
      </c>
    </row>
    <row r="7" spans="1:22" ht="22.5" customHeight="1" x14ac:dyDescent="0.25">
      <c r="A7" s="6" t="s">
        <v>91</v>
      </c>
      <c r="B7" s="6" t="s">
        <v>63</v>
      </c>
      <c r="C7" s="6" t="s">
        <v>64</v>
      </c>
      <c r="D7" s="6"/>
      <c r="E7" s="6" t="s">
        <v>65</v>
      </c>
      <c r="F7" s="6" t="s">
        <v>65</v>
      </c>
      <c r="G7" s="9" t="s">
        <v>92</v>
      </c>
      <c r="H7" s="9" t="s">
        <v>93</v>
      </c>
      <c r="I7" s="9" t="s">
        <v>68</v>
      </c>
      <c r="J7" s="9" t="s">
        <v>69</v>
      </c>
      <c r="K7" s="9" t="s">
        <v>94</v>
      </c>
      <c r="L7" s="9"/>
      <c r="M7" s="12" t="s">
        <v>71</v>
      </c>
      <c r="N7" s="12" t="s">
        <v>95</v>
      </c>
      <c r="O7" s="12" t="s">
        <v>73</v>
      </c>
      <c r="P7" s="12" t="s">
        <v>96</v>
      </c>
      <c r="Q7" s="12"/>
      <c r="R7" s="12" t="s">
        <v>97</v>
      </c>
      <c r="S7" s="12" t="s">
        <v>30</v>
      </c>
      <c r="T7" s="6" t="s">
        <v>98</v>
      </c>
      <c r="U7" s="6" t="s">
        <v>99</v>
      </c>
      <c r="V7" s="6" t="s">
        <v>100</v>
      </c>
    </row>
    <row r="8" spans="1:22" ht="22.5" customHeight="1" x14ac:dyDescent="0.25">
      <c r="A8" s="6" t="s">
        <v>101</v>
      </c>
      <c r="B8" s="6" t="s">
        <v>63</v>
      </c>
      <c r="C8" s="6" t="s">
        <v>64</v>
      </c>
      <c r="D8" s="6"/>
      <c r="E8" s="6" t="s">
        <v>65</v>
      </c>
      <c r="F8" s="6" t="s">
        <v>65</v>
      </c>
      <c r="G8" s="9" t="s">
        <v>102</v>
      </c>
      <c r="H8" s="9" t="s">
        <v>103</v>
      </c>
      <c r="I8" s="9" t="s">
        <v>82</v>
      </c>
      <c r="J8" s="9" t="s">
        <v>104</v>
      </c>
      <c r="K8" s="9" t="s">
        <v>83</v>
      </c>
      <c r="L8" s="9"/>
      <c r="M8" s="12" t="s">
        <v>84</v>
      </c>
      <c r="N8" s="12" t="s">
        <v>105</v>
      </c>
      <c r="O8" s="12" t="s">
        <v>73</v>
      </c>
      <c r="P8" s="12" t="s">
        <v>106</v>
      </c>
      <c r="Q8" s="12"/>
      <c r="R8" s="12" t="s">
        <v>107</v>
      </c>
      <c r="S8" s="12" t="s">
        <v>30</v>
      </c>
      <c r="T8" s="6"/>
      <c r="U8" s="6" t="s">
        <v>108</v>
      </c>
      <c r="V8" s="6" t="s">
        <v>90</v>
      </c>
    </row>
    <row r="9" spans="1:22" ht="22.5" customHeight="1" x14ac:dyDescent="0.25">
      <c r="A9" s="6" t="s">
        <v>109</v>
      </c>
      <c r="B9" s="6" t="s">
        <v>63</v>
      </c>
      <c r="C9" s="6" t="s">
        <v>64</v>
      </c>
      <c r="D9" s="6"/>
      <c r="E9" s="6" t="s">
        <v>65</v>
      </c>
      <c r="F9" s="6" t="s">
        <v>65</v>
      </c>
      <c r="G9" s="9" t="s">
        <v>110</v>
      </c>
      <c r="H9" s="9"/>
      <c r="I9" s="9" t="s">
        <v>82</v>
      </c>
      <c r="J9" s="9" t="s">
        <v>111</v>
      </c>
      <c r="K9" s="9" t="s">
        <v>112</v>
      </c>
      <c r="L9" s="9"/>
      <c r="M9" s="12" t="s">
        <v>113</v>
      </c>
      <c r="N9" s="12" t="s">
        <v>114</v>
      </c>
      <c r="O9" s="12" t="s">
        <v>115</v>
      </c>
      <c r="P9" s="12" t="s">
        <v>116</v>
      </c>
      <c r="Q9" s="12"/>
      <c r="R9" s="12" t="s">
        <v>117</v>
      </c>
      <c r="S9" s="12" t="s">
        <v>30</v>
      </c>
      <c r="T9" s="6"/>
      <c r="U9" s="6" t="s">
        <v>118</v>
      </c>
      <c r="V9" s="6" t="s">
        <v>119</v>
      </c>
    </row>
    <row r="10" spans="1:22" ht="22.5" customHeight="1" x14ac:dyDescent="0.25">
      <c r="A10" s="6" t="s">
        <v>120</v>
      </c>
      <c r="B10" s="6" t="s">
        <v>63</v>
      </c>
      <c r="C10" s="6" t="s">
        <v>64</v>
      </c>
      <c r="D10" s="6"/>
      <c r="E10" s="6" t="s">
        <v>65</v>
      </c>
      <c r="F10" s="6" t="s">
        <v>65</v>
      </c>
      <c r="G10" s="9" t="s">
        <v>121</v>
      </c>
      <c r="H10" s="9" t="s">
        <v>122</v>
      </c>
      <c r="I10" s="9" t="s">
        <v>123</v>
      </c>
      <c r="J10" s="9" t="s">
        <v>111</v>
      </c>
      <c r="K10" s="9" t="s">
        <v>124</v>
      </c>
      <c r="L10" s="9" t="s">
        <v>125</v>
      </c>
      <c r="M10" s="12" t="s">
        <v>113</v>
      </c>
      <c r="N10" s="12" t="s">
        <v>126</v>
      </c>
      <c r="O10" s="12" t="s">
        <v>115</v>
      </c>
      <c r="P10" s="12" t="s">
        <v>127</v>
      </c>
      <c r="Q10" s="12"/>
      <c r="R10" s="12" t="s">
        <v>128</v>
      </c>
      <c r="S10" s="12" t="s">
        <v>30</v>
      </c>
      <c r="T10" s="6"/>
      <c r="U10" s="6" t="s">
        <v>129</v>
      </c>
      <c r="V10" s="6" t="s">
        <v>130</v>
      </c>
    </row>
    <row r="11" spans="1:22" ht="22.5" customHeight="1" x14ac:dyDescent="0.25">
      <c r="A11" s="6" t="s">
        <v>131</v>
      </c>
      <c r="B11" s="6" t="s">
        <v>63</v>
      </c>
      <c r="C11" s="6" t="s">
        <v>64</v>
      </c>
      <c r="D11" s="6"/>
      <c r="E11" s="6" t="s">
        <v>65</v>
      </c>
      <c r="F11" s="6" t="s">
        <v>65</v>
      </c>
      <c r="G11" s="9" t="s">
        <v>132</v>
      </c>
      <c r="H11" s="9" t="s">
        <v>133</v>
      </c>
      <c r="I11" s="9" t="s">
        <v>134</v>
      </c>
      <c r="J11" s="9" t="s">
        <v>134</v>
      </c>
      <c r="K11" s="9"/>
      <c r="L11" s="9"/>
      <c r="M11" s="12" t="s">
        <v>84</v>
      </c>
      <c r="N11" s="12" t="s">
        <v>135</v>
      </c>
      <c r="O11" s="12" t="s">
        <v>136</v>
      </c>
      <c r="P11" s="12" t="s">
        <v>137</v>
      </c>
      <c r="Q11" s="12"/>
      <c r="R11" s="12" t="s">
        <v>138</v>
      </c>
      <c r="S11" s="12" t="s">
        <v>30</v>
      </c>
      <c r="T11" s="6"/>
      <c r="U11" s="6" t="s">
        <v>139</v>
      </c>
      <c r="V11" s="6" t="s">
        <v>140</v>
      </c>
    </row>
    <row r="12" spans="1:22" ht="22.5" customHeight="1" x14ac:dyDescent="0.25">
      <c r="A12" s="6" t="s">
        <v>141</v>
      </c>
      <c r="B12" s="6" t="s">
        <v>63</v>
      </c>
      <c r="C12" s="6" t="s">
        <v>64</v>
      </c>
      <c r="D12" s="6"/>
      <c r="E12" s="6" t="s">
        <v>65</v>
      </c>
      <c r="F12" s="6" t="s">
        <v>65</v>
      </c>
      <c r="G12" s="9" t="s">
        <v>142</v>
      </c>
      <c r="H12" s="9" t="s">
        <v>143</v>
      </c>
      <c r="I12" s="9" t="s">
        <v>123</v>
      </c>
      <c r="J12" s="9" t="s">
        <v>111</v>
      </c>
      <c r="K12" s="9" t="s">
        <v>144</v>
      </c>
      <c r="L12" s="9" t="s">
        <v>125</v>
      </c>
      <c r="M12" s="12" t="s">
        <v>145</v>
      </c>
      <c r="N12" s="12"/>
      <c r="O12" s="12"/>
      <c r="P12" s="12"/>
      <c r="Q12" s="12"/>
      <c r="R12" s="12"/>
      <c r="S12" s="12" t="s">
        <v>36</v>
      </c>
      <c r="T12" s="6"/>
      <c r="U12" s="6" t="s">
        <v>146</v>
      </c>
      <c r="V12" s="6" t="s">
        <v>147</v>
      </c>
    </row>
    <row r="13" spans="1:22" ht="22.5" customHeight="1" x14ac:dyDescent="0.25">
      <c r="A13" s="6" t="s">
        <v>148</v>
      </c>
      <c r="B13" s="6" t="s">
        <v>63</v>
      </c>
      <c r="C13" s="6" t="s">
        <v>64</v>
      </c>
      <c r="D13" s="6"/>
      <c r="E13" s="6" t="s">
        <v>65</v>
      </c>
      <c r="F13" s="6" t="s">
        <v>65</v>
      </c>
      <c r="G13" s="9" t="s">
        <v>149</v>
      </c>
      <c r="H13" s="9" t="s">
        <v>150</v>
      </c>
      <c r="I13" s="9" t="s">
        <v>123</v>
      </c>
      <c r="J13" s="9" t="s">
        <v>111</v>
      </c>
      <c r="K13" s="9" t="s">
        <v>144</v>
      </c>
      <c r="L13" s="9" t="s">
        <v>125</v>
      </c>
      <c r="M13" s="12" t="s">
        <v>145</v>
      </c>
      <c r="N13" s="12"/>
      <c r="O13" s="12"/>
      <c r="P13" s="12"/>
      <c r="Q13" s="12"/>
      <c r="R13" s="12"/>
      <c r="S13" s="12" t="s">
        <v>36</v>
      </c>
      <c r="T13" s="6"/>
      <c r="U13" s="6" t="s">
        <v>151</v>
      </c>
      <c r="V13" s="6" t="s">
        <v>147</v>
      </c>
    </row>
    <row r="14" spans="1:22" ht="22.5" customHeight="1" x14ac:dyDescent="0.25">
      <c r="A14" s="6" t="s">
        <v>152</v>
      </c>
      <c r="B14" s="6" t="s">
        <v>63</v>
      </c>
      <c r="C14" s="6" t="s">
        <v>64</v>
      </c>
      <c r="D14" s="6"/>
      <c r="E14" s="6" t="s">
        <v>65</v>
      </c>
      <c r="F14" s="6" t="s">
        <v>65</v>
      </c>
      <c r="G14" s="9" t="s">
        <v>153</v>
      </c>
      <c r="H14" s="9" t="s">
        <v>154</v>
      </c>
      <c r="I14" s="9" t="s">
        <v>123</v>
      </c>
      <c r="J14" s="9" t="s">
        <v>111</v>
      </c>
      <c r="K14" s="9" t="s">
        <v>144</v>
      </c>
      <c r="L14" s="9" t="s">
        <v>125</v>
      </c>
      <c r="M14" s="12" t="s">
        <v>145</v>
      </c>
      <c r="N14" s="12"/>
      <c r="O14" s="12"/>
      <c r="P14" s="12"/>
      <c r="Q14" s="12"/>
      <c r="R14" s="12"/>
      <c r="S14" s="12" t="s">
        <v>36</v>
      </c>
      <c r="T14" s="6"/>
      <c r="U14" s="6" t="s">
        <v>155</v>
      </c>
      <c r="V14" s="6" t="s">
        <v>147</v>
      </c>
    </row>
    <row r="15" spans="1:22" ht="22.5" customHeight="1" x14ac:dyDescent="0.25">
      <c r="A15" s="6" t="s">
        <v>156</v>
      </c>
      <c r="B15" s="6" t="s">
        <v>63</v>
      </c>
      <c r="C15" s="6" t="s">
        <v>64</v>
      </c>
      <c r="D15" s="6"/>
      <c r="E15" s="6" t="s">
        <v>65</v>
      </c>
      <c r="F15" s="6" t="s">
        <v>65</v>
      </c>
      <c r="G15" s="9" t="s">
        <v>157</v>
      </c>
      <c r="H15" s="9" t="s">
        <v>158</v>
      </c>
      <c r="I15" s="9" t="s">
        <v>134</v>
      </c>
      <c r="J15" s="9" t="s">
        <v>134</v>
      </c>
      <c r="K15" s="9"/>
      <c r="L15" s="9"/>
      <c r="M15" s="12" t="s">
        <v>145</v>
      </c>
      <c r="N15" s="12"/>
      <c r="O15" s="12"/>
      <c r="P15" s="12"/>
      <c r="Q15" s="12"/>
      <c r="R15" s="12"/>
      <c r="S15" s="12" t="s">
        <v>36</v>
      </c>
      <c r="T15" s="6"/>
      <c r="U15" s="6" t="s">
        <v>159</v>
      </c>
      <c r="V15" s="6" t="s">
        <v>147</v>
      </c>
    </row>
    <row r="16" spans="1:22" ht="22.5" customHeight="1" x14ac:dyDescent="0.25">
      <c r="A16" s="6" t="s">
        <v>160</v>
      </c>
      <c r="B16" s="6" t="s">
        <v>63</v>
      </c>
      <c r="C16" s="6" t="s">
        <v>161</v>
      </c>
      <c r="D16" s="6"/>
      <c r="E16" s="6" t="s">
        <v>65</v>
      </c>
      <c r="F16" s="6" t="s">
        <v>65</v>
      </c>
      <c r="G16" s="9" t="s">
        <v>66</v>
      </c>
      <c r="H16" s="9" t="s">
        <v>162</v>
      </c>
      <c r="I16" s="9" t="s">
        <v>68</v>
      </c>
      <c r="J16" s="9" t="s">
        <v>69</v>
      </c>
      <c r="K16" s="9" t="s">
        <v>163</v>
      </c>
      <c r="L16" s="9"/>
      <c r="M16" s="12" t="s">
        <v>71</v>
      </c>
      <c r="N16" s="12" t="s">
        <v>72</v>
      </c>
      <c r="O16" s="12" t="s">
        <v>73</v>
      </c>
      <c r="P16" s="12" t="s">
        <v>74</v>
      </c>
      <c r="Q16" s="12"/>
      <c r="R16" s="12" t="s">
        <v>75</v>
      </c>
      <c r="S16" s="12" t="s">
        <v>30</v>
      </c>
      <c r="T16" s="6" t="s">
        <v>76</v>
      </c>
      <c r="U16" s="6" t="s">
        <v>164</v>
      </c>
      <c r="V16" s="6" t="s">
        <v>78</v>
      </c>
    </row>
    <row r="17" spans="1:22" ht="22.5" customHeight="1" x14ac:dyDescent="0.25">
      <c r="A17" s="6" t="s">
        <v>165</v>
      </c>
      <c r="B17" s="6" t="s">
        <v>63</v>
      </c>
      <c r="C17" s="6" t="s">
        <v>161</v>
      </c>
      <c r="D17" s="6"/>
      <c r="E17" s="6" t="s">
        <v>65</v>
      </c>
      <c r="F17" s="6" t="s">
        <v>65</v>
      </c>
      <c r="G17" s="9" t="s">
        <v>80</v>
      </c>
      <c r="H17" s="9" t="s">
        <v>81</v>
      </c>
      <c r="I17" s="9" t="s">
        <v>82</v>
      </c>
      <c r="J17" s="9" t="s">
        <v>69</v>
      </c>
      <c r="K17" s="9" t="s">
        <v>83</v>
      </c>
      <c r="L17" s="9"/>
      <c r="M17" s="12" t="s">
        <v>84</v>
      </c>
      <c r="N17" s="12" t="s">
        <v>85</v>
      </c>
      <c r="O17" s="12" t="s">
        <v>86</v>
      </c>
      <c r="P17" s="12" t="s">
        <v>87</v>
      </c>
      <c r="Q17" s="12"/>
      <c r="R17" s="12" t="s">
        <v>88</v>
      </c>
      <c r="S17" s="12" t="s">
        <v>30</v>
      </c>
      <c r="T17" s="6"/>
      <c r="U17" s="6" t="s">
        <v>166</v>
      </c>
      <c r="V17" s="6" t="s">
        <v>90</v>
      </c>
    </row>
    <row r="18" spans="1:22" ht="22.5" customHeight="1" x14ac:dyDescent="0.25">
      <c r="A18" s="6" t="s">
        <v>167</v>
      </c>
      <c r="B18" s="6" t="s">
        <v>63</v>
      </c>
      <c r="C18" s="6" t="s">
        <v>161</v>
      </c>
      <c r="D18" s="6"/>
      <c r="E18" s="6" t="s">
        <v>65</v>
      </c>
      <c r="F18" s="6" t="s">
        <v>65</v>
      </c>
      <c r="G18" s="9" t="s">
        <v>92</v>
      </c>
      <c r="H18" s="9" t="s">
        <v>93</v>
      </c>
      <c r="I18" s="9" t="s">
        <v>68</v>
      </c>
      <c r="J18" s="9" t="s">
        <v>69</v>
      </c>
      <c r="K18" s="9" t="s">
        <v>94</v>
      </c>
      <c r="L18" s="9"/>
      <c r="M18" s="12" t="s">
        <v>71</v>
      </c>
      <c r="N18" s="12" t="s">
        <v>95</v>
      </c>
      <c r="O18" s="12" t="s">
        <v>73</v>
      </c>
      <c r="P18" s="12" t="s">
        <v>96</v>
      </c>
      <c r="Q18" s="12"/>
      <c r="R18" s="12" t="s">
        <v>97</v>
      </c>
      <c r="S18" s="12" t="s">
        <v>30</v>
      </c>
      <c r="T18" s="6" t="s">
        <v>168</v>
      </c>
      <c r="U18" s="6" t="s">
        <v>169</v>
      </c>
      <c r="V18" s="6" t="s">
        <v>100</v>
      </c>
    </row>
    <row r="19" spans="1:22" ht="22.5" customHeight="1" x14ac:dyDescent="0.25">
      <c r="A19" s="6" t="s">
        <v>170</v>
      </c>
      <c r="B19" s="6" t="s">
        <v>63</v>
      </c>
      <c r="C19" s="6" t="s">
        <v>161</v>
      </c>
      <c r="D19" s="6"/>
      <c r="E19" s="6" t="s">
        <v>65</v>
      </c>
      <c r="F19" s="6" t="s">
        <v>65</v>
      </c>
      <c r="G19" s="9" t="s">
        <v>102</v>
      </c>
      <c r="H19" s="9" t="s">
        <v>103</v>
      </c>
      <c r="I19" s="9" t="s">
        <v>82</v>
      </c>
      <c r="J19" s="9" t="s">
        <v>104</v>
      </c>
      <c r="K19" s="9" t="s">
        <v>83</v>
      </c>
      <c r="L19" s="9"/>
      <c r="M19" s="12" t="s">
        <v>84</v>
      </c>
      <c r="N19" s="12" t="s">
        <v>105</v>
      </c>
      <c r="O19" s="12" t="s">
        <v>73</v>
      </c>
      <c r="P19" s="12" t="s">
        <v>106</v>
      </c>
      <c r="Q19" s="12"/>
      <c r="R19" s="12" t="s">
        <v>107</v>
      </c>
      <c r="S19" s="12" t="s">
        <v>30</v>
      </c>
      <c r="T19" s="6"/>
      <c r="U19" s="6" t="s">
        <v>171</v>
      </c>
      <c r="V19" s="6" t="s">
        <v>90</v>
      </c>
    </row>
    <row r="20" spans="1:22" ht="22.5" customHeight="1" x14ac:dyDescent="0.25">
      <c r="A20" s="6" t="s">
        <v>172</v>
      </c>
      <c r="B20" s="6" t="s">
        <v>63</v>
      </c>
      <c r="C20" s="6" t="s">
        <v>161</v>
      </c>
      <c r="D20" s="6"/>
      <c r="E20" s="6" t="s">
        <v>65</v>
      </c>
      <c r="F20" s="6" t="s">
        <v>65</v>
      </c>
      <c r="G20" s="9" t="s">
        <v>110</v>
      </c>
      <c r="H20" s="9"/>
      <c r="I20" s="9" t="s">
        <v>82</v>
      </c>
      <c r="J20" s="9" t="s">
        <v>111</v>
      </c>
      <c r="K20" s="9" t="s">
        <v>112</v>
      </c>
      <c r="L20" s="9"/>
      <c r="M20" s="12" t="s">
        <v>113</v>
      </c>
      <c r="N20" s="12" t="s">
        <v>114</v>
      </c>
      <c r="O20" s="12" t="s">
        <v>115</v>
      </c>
      <c r="P20" s="12" t="s">
        <v>116</v>
      </c>
      <c r="Q20" s="12"/>
      <c r="R20" s="12" t="s">
        <v>117</v>
      </c>
      <c r="S20" s="12" t="s">
        <v>30</v>
      </c>
      <c r="T20" s="6"/>
      <c r="U20" s="6" t="s">
        <v>173</v>
      </c>
      <c r="V20" s="6" t="s">
        <v>119</v>
      </c>
    </row>
    <row r="21" spans="1:22" ht="22.5" customHeight="1" x14ac:dyDescent="0.25">
      <c r="A21" s="6" t="s">
        <v>174</v>
      </c>
      <c r="B21" s="6" t="s">
        <v>63</v>
      </c>
      <c r="C21" s="6" t="s">
        <v>161</v>
      </c>
      <c r="D21" s="6"/>
      <c r="E21" s="6" t="s">
        <v>65</v>
      </c>
      <c r="F21" s="6" t="s">
        <v>65</v>
      </c>
      <c r="G21" s="9" t="s">
        <v>121</v>
      </c>
      <c r="H21" s="9" t="s">
        <v>122</v>
      </c>
      <c r="I21" s="9" t="s">
        <v>123</v>
      </c>
      <c r="J21" s="9" t="s">
        <v>111</v>
      </c>
      <c r="K21" s="9" t="s">
        <v>124</v>
      </c>
      <c r="L21" s="9" t="s">
        <v>125</v>
      </c>
      <c r="M21" s="12" t="s">
        <v>113</v>
      </c>
      <c r="N21" s="12" t="s">
        <v>126</v>
      </c>
      <c r="O21" s="12" t="s">
        <v>115</v>
      </c>
      <c r="P21" s="12" t="s">
        <v>127</v>
      </c>
      <c r="Q21" s="12"/>
      <c r="R21" s="12" t="s">
        <v>128</v>
      </c>
      <c r="S21" s="12" t="s">
        <v>30</v>
      </c>
      <c r="T21" s="6"/>
      <c r="U21" s="6" t="s">
        <v>175</v>
      </c>
      <c r="V21" s="6" t="s">
        <v>130</v>
      </c>
    </row>
    <row r="22" spans="1:22" ht="22.5" customHeight="1" x14ac:dyDescent="0.25">
      <c r="A22" s="6" t="s">
        <v>176</v>
      </c>
      <c r="B22" s="6" t="s">
        <v>63</v>
      </c>
      <c r="C22" s="6" t="s">
        <v>161</v>
      </c>
      <c r="D22" s="6"/>
      <c r="E22" s="6" t="s">
        <v>65</v>
      </c>
      <c r="F22" s="6" t="s">
        <v>65</v>
      </c>
      <c r="G22" s="9" t="s">
        <v>132</v>
      </c>
      <c r="H22" s="9" t="s">
        <v>177</v>
      </c>
      <c r="I22" s="9" t="s">
        <v>134</v>
      </c>
      <c r="J22" s="9" t="s">
        <v>134</v>
      </c>
      <c r="K22" s="9"/>
      <c r="L22" s="9"/>
      <c r="M22" s="12" t="s">
        <v>84</v>
      </c>
      <c r="N22" s="12" t="s">
        <v>135</v>
      </c>
      <c r="O22" s="12" t="s">
        <v>136</v>
      </c>
      <c r="P22" s="12" t="s">
        <v>137</v>
      </c>
      <c r="Q22" s="12"/>
      <c r="R22" s="12" t="s">
        <v>138</v>
      </c>
      <c r="S22" s="12" t="s">
        <v>30</v>
      </c>
      <c r="T22" s="6"/>
      <c r="U22" s="6" t="s">
        <v>178</v>
      </c>
      <c r="V22" s="6" t="s">
        <v>140</v>
      </c>
    </row>
    <row r="23" spans="1:22" ht="22.5" customHeight="1" x14ac:dyDescent="0.25">
      <c r="A23" s="6" t="s">
        <v>179</v>
      </c>
      <c r="B23" s="6" t="s">
        <v>63</v>
      </c>
      <c r="C23" s="6" t="s">
        <v>161</v>
      </c>
      <c r="D23" s="6"/>
      <c r="E23" s="6" t="s">
        <v>65</v>
      </c>
      <c r="F23" s="6" t="s">
        <v>65</v>
      </c>
      <c r="G23" s="9" t="s">
        <v>142</v>
      </c>
      <c r="H23" s="9" t="s">
        <v>143</v>
      </c>
      <c r="I23" s="9" t="s">
        <v>123</v>
      </c>
      <c r="J23" s="9" t="s">
        <v>111</v>
      </c>
      <c r="K23" s="9" t="s">
        <v>144</v>
      </c>
      <c r="L23" s="9" t="s">
        <v>125</v>
      </c>
      <c r="M23" s="12" t="s">
        <v>145</v>
      </c>
      <c r="N23" s="12"/>
      <c r="O23" s="12"/>
      <c r="P23" s="12"/>
      <c r="Q23" s="12"/>
      <c r="R23" s="12"/>
      <c r="S23" s="12" t="s">
        <v>36</v>
      </c>
      <c r="T23" s="6"/>
      <c r="U23" s="6" t="s">
        <v>180</v>
      </c>
      <c r="V23" s="6" t="s">
        <v>147</v>
      </c>
    </row>
    <row r="24" spans="1:22" ht="22.5" customHeight="1" x14ac:dyDescent="0.25">
      <c r="A24" s="6" t="s">
        <v>181</v>
      </c>
      <c r="B24" s="6" t="s">
        <v>63</v>
      </c>
      <c r="C24" s="6" t="s">
        <v>161</v>
      </c>
      <c r="D24" s="6"/>
      <c r="E24" s="6" t="s">
        <v>65</v>
      </c>
      <c r="F24" s="6" t="s">
        <v>65</v>
      </c>
      <c r="G24" s="9" t="s">
        <v>149</v>
      </c>
      <c r="H24" s="9" t="s">
        <v>150</v>
      </c>
      <c r="I24" s="9" t="s">
        <v>123</v>
      </c>
      <c r="J24" s="9" t="s">
        <v>111</v>
      </c>
      <c r="K24" s="9" t="s">
        <v>144</v>
      </c>
      <c r="L24" s="9" t="s">
        <v>125</v>
      </c>
      <c r="M24" s="12" t="s">
        <v>145</v>
      </c>
      <c r="N24" s="12"/>
      <c r="O24" s="12"/>
      <c r="P24" s="12"/>
      <c r="Q24" s="12"/>
      <c r="R24" s="12"/>
      <c r="S24" s="12" t="s">
        <v>36</v>
      </c>
      <c r="T24" s="6"/>
      <c r="U24" s="6" t="s">
        <v>182</v>
      </c>
      <c r="V24" s="6" t="s">
        <v>147</v>
      </c>
    </row>
    <row r="25" spans="1:22" ht="22.5" customHeight="1" x14ac:dyDescent="0.25">
      <c r="A25" s="6" t="s">
        <v>183</v>
      </c>
      <c r="B25" s="6" t="s">
        <v>63</v>
      </c>
      <c r="C25" s="6" t="s">
        <v>161</v>
      </c>
      <c r="D25" s="6"/>
      <c r="E25" s="6" t="s">
        <v>65</v>
      </c>
      <c r="F25" s="6" t="s">
        <v>65</v>
      </c>
      <c r="G25" s="9" t="s">
        <v>153</v>
      </c>
      <c r="H25" s="9" t="s">
        <v>154</v>
      </c>
      <c r="I25" s="9" t="s">
        <v>123</v>
      </c>
      <c r="J25" s="9" t="s">
        <v>111</v>
      </c>
      <c r="K25" s="9" t="s">
        <v>144</v>
      </c>
      <c r="L25" s="9" t="s">
        <v>125</v>
      </c>
      <c r="M25" s="12" t="s">
        <v>145</v>
      </c>
      <c r="N25" s="12"/>
      <c r="O25" s="12"/>
      <c r="P25" s="12"/>
      <c r="Q25" s="12"/>
      <c r="R25" s="12"/>
      <c r="S25" s="12" t="s">
        <v>36</v>
      </c>
      <c r="T25" s="6"/>
      <c r="U25" s="6" t="s">
        <v>184</v>
      </c>
      <c r="V25" s="6" t="s">
        <v>147</v>
      </c>
    </row>
    <row r="26" spans="1:22" ht="22.5" customHeight="1" x14ac:dyDescent="0.25">
      <c r="A26" s="6" t="s">
        <v>185</v>
      </c>
      <c r="B26" s="6" t="s">
        <v>63</v>
      </c>
      <c r="C26" s="6" t="s">
        <v>161</v>
      </c>
      <c r="D26" s="6"/>
      <c r="E26" s="6" t="s">
        <v>65</v>
      </c>
      <c r="F26" s="6" t="s">
        <v>65</v>
      </c>
      <c r="G26" s="9" t="s">
        <v>186</v>
      </c>
      <c r="H26" s="9" t="s">
        <v>187</v>
      </c>
      <c r="I26" s="9" t="s">
        <v>68</v>
      </c>
      <c r="J26" s="9" t="s">
        <v>69</v>
      </c>
      <c r="K26" s="9" t="s">
        <v>70</v>
      </c>
      <c r="L26" s="9"/>
      <c r="M26" s="12" t="s">
        <v>113</v>
      </c>
      <c r="N26" s="12" t="s">
        <v>188</v>
      </c>
      <c r="O26" s="12" t="s">
        <v>189</v>
      </c>
      <c r="P26" s="12" t="s">
        <v>190</v>
      </c>
      <c r="Q26" s="12"/>
      <c r="R26" s="12" t="s">
        <v>191</v>
      </c>
      <c r="S26" s="12" t="s">
        <v>30</v>
      </c>
      <c r="T26" s="6" t="s">
        <v>192</v>
      </c>
      <c r="U26" s="6" t="s">
        <v>193</v>
      </c>
      <c r="V26" s="6" t="s">
        <v>194</v>
      </c>
    </row>
    <row r="27" spans="1:22" ht="22.5" customHeight="1" x14ac:dyDescent="0.25">
      <c r="A27" s="6" t="s">
        <v>195</v>
      </c>
      <c r="B27" s="6" t="s">
        <v>63</v>
      </c>
      <c r="C27" s="6" t="s">
        <v>196</v>
      </c>
      <c r="D27" s="6"/>
      <c r="E27" s="6" t="s">
        <v>65</v>
      </c>
      <c r="F27" s="6" t="s">
        <v>65</v>
      </c>
      <c r="G27" s="9" t="s">
        <v>66</v>
      </c>
      <c r="H27" s="9" t="s">
        <v>197</v>
      </c>
      <c r="I27" s="9" t="s">
        <v>68</v>
      </c>
      <c r="J27" s="9" t="s">
        <v>69</v>
      </c>
      <c r="K27" s="9" t="s">
        <v>198</v>
      </c>
      <c r="L27" s="9"/>
      <c r="M27" s="12" t="s">
        <v>71</v>
      </c>
      <c r="N27" s="12" t="s">
        <v>72</v>
      </c>
      <c r="O27" s="12" t="s">
        <v>73</v>
      </c>
      <c r="P27" s="12" t="s">
        <v>74</v>
      </c>
      <c r="Q27" s="12"/>
      <c r="R27" s="12" t="s">
        <v>75</v>
      </c>
      <c r="S27" s="12" t="s">
        <v>30</v>
      </c>
      <c r="T27" s="6" t="s">
        <v>76</v>
      </c>
      <c r="U27" s="6" t="s">
        <v>199</v>
      </c>
      <c r="V27" s="6" t="s">
        <v>78</v>
      </c>
    </row>
    <row r="28" spans="1:22" ht="22.5" customHeight="1" x14ac:dyDescent="0.25">
      <c r="A28" s="6" t="s">
        <v>200</v>
      </c>
      <c r="B28" s="6" t="s">
        <v>63</v>
      </c>
      <c r="C28" s="6" t="s">
        <v>196</v>
      </c>
      <c r="D28" s="6"/>
      <c r="E28" s="6" t="s">
        <v>65</v>
      </c>
      <c r="F28" s="6" t="s">
        <v>65</v>
      </c>
      <c r="G28" s="9" t="s">
        <v>80</v>
      </c>
      <c r="H28" s="9" t="s">
        <v>81</v>
      </c>
      <c r="I28" s="9" t="s">
        <v>82</v>
      </c>
      <c r="J28" s="9" t="s">
        <v>69</v>
      </c>
      <c r="K28" s="9" t="s">
        <v>83</v>
      </c>
      <c r="L28" s="9"/>
      <c r="M28" s="12" t="s">
        <v>84</v>
      </c>
      <c r="N28" s="12" t="s">
        <v>85</v>
      </c>
      <c r="O28" s="12" t="s">
        <v>86</v>
      </c>
      <c r="P28" s="12" t="s">
        <v>87</v>
      </c>
      <c r="Q28" s="12"/>
      <c r="R28" s="12" t="s">
        <v>88</v>
      </c>
      <c r="S28" s="12" t="s">
        <v>30</v>
      </c>
      <c r="T28" s="6"/>
      <c r="U28" s="6" t="s">
        <v>201</v>
      </c>
      <c r="V28" s="6" t="s">
        <v>90</v>
      </c>
    </row>
    <row r="29" spans="1:22" ht="22.5" customHeight="1" x14ac:dyDescent="0.25">
      <c r="A29" s="6" t="s">
        <v>202</v>
      </c>
      <c r="B29" s="6" t="s">
        <v>63</v>
      </c>
      <c r="C29" s="6" t="s">
        <v>196</v>
      </c>
      <c r="D29" s="6"/>
      <c r="E29" s="6" t="s">
        <v>65</v>
      </c>
      <c r="F29" s="6" t="s">
        <v>65</v>
      </c>
      <c r="G29" s="9" t="s">
        <v>92</v>
      </c>
      <c r="H29" s="9" t="s">
        <v>93</v>
      </c>
      <c r="I29" s="9" t="s">
        <v>68</v>
      </c>
      <c r="J29" s="9" t="s">
        <v>69</v>
      </c>
      <c r="K29" s="9" t="s">
        <v>94</v>
      </c>
      <c r="L29" s="9"/>
      <c r="M29" s="12" t="s">
        <v>71</v>
      </c>
      <c r="N29" s="12" t="s">
        <v>95</v>
      </c>
      <c r="O29" s="12" t="s">
        <v>73</v>
      </c>
      <c r="P29" s="12" t="s">
        <v>96</v>
      </c>
      <c r="Q29" s="12"/>
      <c r="R29" s="12" t="s">
        <v>97</v>
      </c>
      <c r="S29" s="12" t="s">
        <v>30</v>
      </c>
      <c r="T29" s="6" t="s">
        <v>168</v>
      </c>
      <c r="U29" s="6" t="s">
        <v>203</v>
      </c>
      <c r="V29" s="6" t="s">
        <v>100</v>
      </c>
    </row>
    <row r="30" spans="1:22" ht="22.5" customHeight="1" x14ac:dyDescent="0.25">
      <c r="A30" s="6" t="s">
        <v>204</v>
      </c>
      <c r="B30" s="6" t="s">
        <v>63</v>
      </c>
      <c r="C30" s="6" t="s">
        <v>196</v>
      </c>
      <c r="D30" s="6"/>
      <c r="E30" s="6" t="s">
        <v>65</v>
      </c>
      <c r="F30" s="6" t="s">
        <v>65</v>
      </c>
      <c r="G30" s="9" t="s">
        <v>102</v>
      </c>
      <c r="H30" s="9" t="s">
        <v>205</v>
      </c>
      <c r="I30" s="9" t="s">
        <v>82</v>
      </c>
      <c r="J30" s="9" t="s">
        <v>104</v>
      </c>
      <c r="K30" s="9" t="s">
        <v>83</v>
      </c>
      <c r="L30" s="9"/>
      <c r="M30" s="12" t="s">
        <v>84</v>
      </c>
      <c r="N30" s="12" t="s">
        <v>105</v>
      </c>
      <c r="O30" s="12" t="s">
        <v>73</v>
      </c>
      <c r="P30" s="12" t="s">
        <v>106</v>
      </c>
      <c r="Q30" s="12"/>
      <c r="R30" s="12" t="s">
        <v>107</v>
      </c>
      <c r="S30" s="12" t="s">
        <v>30</v>
      </c>
      <c r="T30" s="6"/>
      <c r="U30" s="6" t="s">
        <v>206</v>
      </c>
      <c r="V30" s="6" t="s">
        <v>90</v>
      </c>
    </row>
    <row r="31" spans="1:22" ht="22.5" customHeight="1" x14ac:dyDescent="0.25">
      <c r="A31" s="6" t="s">
        <v>207</v>
      </c>
      <c r="B31" s="6" t="s">
        <v>63</v>
      </c>
      <c r="C31" s="6" t="s">
        <v>196</v>
      </c>
      <c r="D31" s="6"/>
      <c r="E31" s="6" t="s">
        <v>65</v>
      </c>
      <c r="F31" s="6" t="s">
        <v>65</v>
      </c>
      <c r="G31" s="9" t="s">
        <v>110</v>
      </c>
      <c r="H31" s="9"/>
      <c r="I31" s="9" t="s">
        <v>82</v>
      </c>
      <c r="J31" s="9" t="s">
        <v>111</v>
      </c>
      <c r="K31" s="9" t="s">
        <v>112</v>
      </c>
      <c r="L31" s="9"/>
      <c r="M31" s="12" t="s">
        <v>113</v>
      </c>
      <c r="N31" s="12" t="s">
        <v>114</v>
      </c>
      <c r="O31" s="12" t="s">
        <v>115</v>
      </c>
      <c r="P31" s="12" t="s">
        <v>116</v>
      </c>
      <c r="Q31" s="12"/>
      <c r="R31" s="12" t="s">
        <v>117</v>
      </c>
      <c r="S31" s="12" t="s">
        <v>30</v>
      </c>
      <c r="T31" s="6"/>
      <c r="U31" s="6" t="s">
        <v>208</v>
      </c>
      <c r="V31" s="6" t="s">
        <v>119</v>
      </c>
    </row>
    <row r="32" spans="1:22" ht="22.5" customHeight="1" x14ac:dyDescent="0.25">
      <c r="A32" s="6" t="s">
        <v>209</v>
      </c>
      <c r="B32" s="6" t="s">
        <v>63</v>
      </c>
      <c r="C32" s="6" t="s">
        <v>196</v>
      </c>
      <c r="D32" s="6"/>
      <c r="E32" s="6" t="s">
        <v>65</v>
      </c>
      <c r="F32" s="6" t="s">
        <v>65</v>
      </c>
      <c r="G32" s="9" t="s">
        <v>121</v>
      </c>
      <c r="H32" s="9" t="s">
        <v>122</v>
      </c>
      <c r="I32" s="9" t="s">
        <v>123</v>
      </c>
      <c r="J32" s="9" t="s">
        <v>111</v>
      </c>
      <c r="K32" s="9" t="s">
        <v>124</v>
      </c>
      <c r="L32" s="9" t="s">
        <v>125</v>
      </c>
      <c r="M32" s="12" t="s">
        <v>113</v>
      </c>
      <c r="N32" s="12" t="s">
        <v>126</v>
      </c>
      <c r="O32" s="12" t="s">
        <v>115</v>
      </c>
      <c r="P32" s="12" t="s">
        <v>127</v>
      </c>
      <c r="Q32" s="12"/>
      <c r="R32" s="12" t="s">
        <v>128</v>
      </c>
      <c r="S32" s="12" t="s">
        <v>30</v>
      </c>
      <c r="T32" s="6"/>
      <c r="U32" s="6" t="s">
        <v>210</v>
      </c>
      <c r="V32" s="6" t="s">
        <v>130</v>
      </c>
    </row>
    <row r="33" spans="1:22" ht="22.5" customHeight="1" x14ac:dyDescent="0.25">
      <c r="A33" s="6" t="s">
        <v>211</v>
      </c>
      <c r="B33" s="6" t="s">
        <v>63</v>
      </c>
      <c r="C33" s="6" t="s">
        <v>196</v>
      </c>
      <c r="D33" s="6"/>
      <c r="E33" s="6" t="s">
        <v>65</v>
      </c>
      <c r="F33" s="6" t="s">
        <v>65</v>
      </c>
      <c r="G33" s="9" t="s">
        <v>132</v>
      </c>
      <c r="H33" s="9" t="s">
        <v>212</v>
      </c>
      <c r="I33" s="9" t="s">
        <v>134</v>
      </c>
      <c r="J33" s="9" t="s">
        <v>134</v>
      </c>
      <c r="K33" s="9"/>
      <c r="L33" s="9"/>
      <c r="M33" s="12" t="s">
        <v>84</v>
      </c>
      <c r="N33" s="12" t="s">
        <v>135</v>
      </c>
      <c r="O33" s="12" t="s">
        <v>136</v>
      </c>
      <c r="P33" s="12" t="s">
        <v>137</v>
      </c>
      <c r="Q33" s="12"/>
      <c r="R33" s="12" t="s">
        <v>138</v>
      </c>
      <c r="S33" s="12" t="s">
        <v>30</v>
      </c>
      <c r="T33" s="6"/>
      <c r="U33" s="6" t="s">
        <v>213</v>
      </c>
      <c r="V33" s="6" t="s">
        <v>140</v>
      </c>
    </row>
    <row r="34" spans="1:22" ht="22.5" customHeight="1" x14ac:dyDescent="0.25">
      <c r="A34" s="6" t="s">
        <v>214</v>
      </c>
      <c r="B34" s="6" t="s">
        <v>63</v>
      </c>
      <c r="C34" s="6" t="s">
        <v>196</v>
      </c>
      <c r="D34" s="6"/>
      <c r="E34" s="6" t="s">
        <v>65</v>
      </c>
      <c r="F34" s="6" t="s">
        <v>65</v>
      </c>
      <c r="G34" s="9" t="s">
        <v>142</v>
      </c>
      <c r="H34" s="9" t="s">
        <v>143</v>
      </c>
      <c r="I34" s="9" t="s">
        <v>123</v>
      </c>
      <c r="J34" s="9" t="s">
        <v>111</v>
      </c>
      <c r="K34" s="9" t="s">
        <v>144</v>
      </c>
      <c r="L34" s="9" t="s">
        <v>125</v>
      </c>
      <c r="M34" s="12" t="s">
        <v>145</v>
      </c>
      <c r="N34" s="12"/>
      <c r="O34" s="12"/>
      <c r="P34" s="12"/>
      <c r="Q34" s="12"/>
      <c r="R34" s="12"/>
      <c r="S34" s="12" t="s">
        <v>36</v>
      </c>
      <c r="T34" s="6"/>
      <c r="U34" s="6" t="s">
        <v>215</v>
      </c>
      <c r="V34" s="6" t="s">
        <v>147</v>
      </c>
    </row>
    <row r="35" spans="1:22" ht="22.5" customHeight="1" x14ac:dyDescent="0.25">
      <c r="A35" s="6" t="s">
        <v>216</v>
      </c>
      <c r="B35" s="6" t="s">
        <v>63</v>
      </c>
      <c r="C35" s="6" t="s">
        <v>196</v>
      </c>
      <c r="D35" s="6"/>
      <c r="E35" s="6" t="s">
        <v>65</v>
      </c>
      <c r="F35" s="6" t="s">
        <v>65</v>
      </c>
      <c r="G35" s="9" t="s">
        <v>149</v>
      </c>
      <c r="H35" s="9" t="s">
        <v>150</v>
      </c>
      <c r="I35" s="9" t="s">
        <v>123</v>
      </c>
      <c r="J35" s="9" t="s">
        <v>111</v>
      </c>
      <c r="K35" s="9" t="s">
        <v>144</v>
      </c>
      <c r="L35" s="9" t="s">
        <v>125</v>
      </c>
      <c r="M35" s="12" t="s">
        <v>145</v>
      </c>
      <c r="N35" s="12"/>
      <c r="O35" s="12"/>
      <c r="P35" s="12"/>
      <c r="Q35" s="12"/>
      <c r="R35" s="12"/>
      <c r="S35" s="12" t="s">
        <v>36</v>
      </c>
      <c r="T35" s="6"/>
      <c r="U35" s="6" t="s">
        <v>217</v>
      </c>
      <c r="V35" s="6" t="s">
        <v>147</v>
      </c>
    </row>
    <row r="36" spans="1:22" ht="22.5" customHeight="1" x14ac:dyDescent="0.25">
      <c r="A36" s="6" t="s">
        <v>218</v>
      </c>
      <c r="B36" s="6" t="s">
        <v>63</v>
      </c>
      <c r="C36" s="6" t="s">
        <v>196</v>
      </c>
      <c r="D36" s="6"/>
      <c r="E36" s="6" t="s">
        <v>65</v>
      </c>
      <c r="F36" s="6" t="s">
        <v>65</v>
      </c>
      <c r="G36" s="9" t="s">
        <v>153</v>
      </c>
      <c r="H36" s="9" t="s">
        <v>154</v>
      </c>
      <c r="I36" s="9" t="s">
        <v>123</v>
      </c>
      <c r="J36" s="9" t="s">
        <v>111</v>
      </c>
      <c r="K36" s="9" t="s">
        <v>144</v>
      </c>
      <c r="L36" s="9" t="s">
        <v>125</v>
      </c>
      <c r="M36" s="12" t="s">
        <v>145</v>
      </c>
      <c r="N36" s="12"/>
      <c r="O36" s="12"/>
      <c r="P36" s="12"/>
      <c r="Q36" s="12"/>
      <c r="R36" s="12"/>
      <c r="S36" s="12" t="s">
        <v>36</v>
      </c>
      <c r="T36" s="6"/>
      <c r="U36" s="6" t="s">
        <v>219</v>
      </c>
      <c r="V36" s="6" t="s">
        <v>147</v>
      </c>
    </row>
    <row r="37" spans="1:22" ht="22.5" customHeight="1" x14ac:dyDescent="0.25">
      <c r="A37" s="6" t="s">
        <v>220</v>
      </c>
      <c r="B37" s="6" t="s">
        <v>63</v>
      </c>
      <c r="C37" s="6" t="s">
        <v>196</v>
      </c>
      <c r="D37" s="6"/>
      <c r="E37" s="6" t="s">
        <v>65</v>
      </c>
      <c r="F37" s="6" t="s">
        <v>65</v>
      </c>
      <c r="G37" s="9" t="s">
        <v>186</v>
      </c>
      <c r="H37" s="9" t="s">
        <v>221</v>
      </c>
      <c r="I37" s="9" t="s">
        <v>68</v>
      </c>
      <c r="J37" s="9" t="s">
        <v>69</v>
      </c>
      <c r="K37" s="9" t="s">
        <v>70</v>
      </c>
      <c r="L37" s="9"/>
      <c r="M37" s="12" t="s">
        <v>113</v>
      </c>
      <c r="N37" s="12" t="s">
        <v>188</v>
      </c>
      <c r="O37" s="12" t="s">
        <v>189</v>
      </c>
      <c r="P37" s="12" t="s">
        <v>190</v>
      </c>
      <c r="Q37" s="12"/>
      <c r="R37" s="12" t="s">
        <v>191</v>
      </c>
      <c r="S37" s="12" t="s">
        <v>30</v>
      </c>
      <c r="T37" s="6" t="s">
        <v>192</v>
      </c>
      <c r="U37" s="6" t="s">
        <v>222</v>
      </c>
      <c r="V37" s="6" t="s">
        <v>194</v>
      </c>
    </row>
    <row r="38" spans="1:22" ht="22.5" customHeight="1" x14ac:dyDescent="0.25">
      <c r="A38" s="6" t="s">
        <v>223</v>
      </c>
      <c r="B38" s="6" t="s">
        <v>63</v>
      </c>
      <c r="C38" s="6" t="s">
        <v>224</v>
      </c>
      <c r="D38" s="6"/>
      <c r="E38" s="6" t="s">
        <v>65</v>
      </c>
      <c r="F38" s="6" t="s">
        <v>65</v>
      </c>
      <c r="G38" s="9" t="s">
        <v>66</v>
      </c>
      <c r="H38" s="9" t="s">
        <v>225</v>
      </c>
      <c r="I38" s="9" t="s">
        <v>68</v>
      </c>
      <c r="J38" s="9" t="s">
        <v>69</v>
      </c>
      <c r="K38" s="9" t="s">
        <v>226</v>
      </c>
      <c r="L38" s="9"/>
      <c r="M38" s="12" t="s">
        <v>71</v>
      </c>
      <c r="N38" s="12" t="s">
        <v>72</v>
      </c>
      <c r="O38" s="12" t="s">
        <v>73</v>
      </c>
      <c r="P38" s="12" t="s">
        <v>74</v>
      </c>
      <c r="Q38" s="12"/>
      <c r="R38" s="12" t="s">
        <v>75</v>
      </c>
      <c r="S38" s="12" t="s">
        <v>30</v>
      </c>
      <c r="T38" s="6" t="s">
        <v>76</v>
      </c>
      <c r="U38" s="6" t="s">
        <v>227</v>
      </c>
      <c r="V38" s="6" t="s">
        <v>78</v>
      </c>
    </row>
    <row r="39" spans="1:22" ht="22.5" customHeight="1" x14ac:dyDescent="0.25">
      <c r="A39" s="6" t="s">
        <v>228</v>
      </c>
      <c r="B39" s="6" t="s">
        <v>63</v>
      </c>
      <c r="C39" s="6" t="s">
        <v>224</v>
      </c>
      <c r="D39" s="6"/>
      <c r="E39" s="6" t="s">
        <v>65</v>
      </c>
      <c r="F39" s="6" t="s">
        <v>65</v>
      </c>
      <c r="G39" s="9" t="s">
        <v>80</v>
      </c>
      <c r="H39" s="9" t="s">
        <v>81</v>
      </c>
      <c r="I39" s="9" t="s">
        <v>82</v>
      </c>
      <c r="J39" s="9" t="s">
        <v>69</v>
      </c>
      <c r="K39" s="9" t="s">
        <v>83</v>
      </c>
      <c r="L39" s="9"/>
      <c r="M39" s="12" t="s">
        <v>84</v>
      </c>
      <c r="N39" s="12" t="s">
        <v>85</v>
      </c>
      <c r="O39" s="12" t="s">
        <v>86</v>
      </c>
      <c r="P39" s="12" t="s">
        <v>87</v>
      </c>
      <c r="Q39" s="12"/>
      <c r="R39" s="12" t="s">
        <v>88</v>
      </c>
      <c r="S39" s="12" t="s">
        <v>30</v>
      </c>
      <c r="T39" s="6"/>
      <c r="U39" s="6" t="s">
        <v>229</v>
      </c>
      <c r="V39" s="6" t="s">
        <v>90</v>
      </c>
    </row>
    <row r="40" spans="1:22" ht="22.5" customHeight="1" x14ac:dyDescent="0.25">
      <c r="A40" s="6" t="s">
        <v>230</v>
      </c>
      <c r="B40" s="6" t="s">
        <v>63</v>
      </c>
      <c r="C40" s="6" t="s">
        <v>224</v>
      </c>
      <c r="D40" s="6"/>
      <c r="E40" s="6" t="s">
        <v>65</v>
      </c>
      <c r="F40" s="6" t="s">
        <v>65</v>
      </c>
      <c r="G40" s="9" t="s">
        <v>92</v>
      </c>
      <c r="H40" s="9" t="s">
        <v>93</v>
      </c>
      <c r="I40" s="9" t="s">
        <v>68</v>
      </c>
      <c r="J40" s="9" t="s">
        <v>69</v>
      </c>
      <c r="K40" s="9" t="s">
        <v>94</v>
      </c>
      <c r="L40" s="9"/>
      <c r="M40" s="12" t="s">
        <v>71</v>
      </c>
      <c r="N40" s="12" t="s">
        <v>95</v>
      </c>
      <c r="O40" s="12" t="s">
        <v>73</v>
      </c>
      <c r="P40" s="12" t="s">
        <v>96</v>
      </c>
      <c r="Q40" s="12"/>
      <c r="R40" s="12" t="s">
        <v>97</v>
      </c>
      <c r="S40" s="12" t="s">
        <v>30</v>
      </c>
      <c r="T40" s="6" t="s">
        <v>168</v>
      </c>
      <c r="U40" s="6" t="s">
        <v>231</v>
      </c>
      <c r="V40" s="6" t="s">
        <v>100</v>
      </c>
    </row>
    <row r="41" spans="1:22" ht="22.5" customHeight="1" x14ac:dyDescent="0.25">
      <c r="A41" s="6" t="s">
        <v>232</v>
      </c>
      <c r="B41" s="6" t="s">
        <v>63</v>
      </c>
      <c r="C41" s="6" t="s">
        <v>224</v>
      </c>
      <c r="D41" s="6"/>
      <c r="E41" s="6" t="s">
        <v>65</v>
      </c>
      <c r="F41" s="6" t="s">
        <v>65</v>
      </c>
      <c r="G41" s="9" t="s">
        <v>102</v>
      </c>
      <c r="H41" s="9" t="s">
        <v>103</v>
      </c>
      <c r="I41" s="9" t="s">
        <v>82</v>
      </c>
      <c r="J41" s="9" t="s">
        <v>104</v>
      </c>
      <c r="K41" s="9" t="s">
        <v>83</v>
      </c>
      <c r="L41" s="9"/>
      <c r="M41" s="12" t="s">
        <v>84</v>
      </c>
      <c r="N41" s="12" t="s">
        <v>105</v>
      </c>
      <c r="O41" s="12" t="s">
        <v>73</v>
      </c>
      <c r="P41" s="12" t="s">
        <v>106</v>
      </c>
      <c r="Q41" s="12"/>
      <c r="R41" s="12" t="s">
        <v>107</v>
      </c>
      <c r="S41" s="12" t="s">
        <v>32</v>
      </c>
      <c r="T41" s="6"/>
      <c r="U41" s="6" t="s">
        <v>233</v>
      </c>
      <c r="V41" s="6" t="s">
        <v>234</v>
      </c>
    </row>
    <row r="42" spans="1:22" ht="22.5" customHeight="1" x14ac:dyDescent="0.25">
      <c r="A42" s="6" t="s">
        <v>235</v>
      </c>
      <c r="B42" s="6" t="s">
        <v>63</v>
      </c>
      <c r="C42" s="6" t="s">
        <v>224</v>
      </c>
      <c r="D42" s="6"/>
      <c r="E42" s="6" t="s">
        <v>65</v>
      </c>
      <c r="F42" s="6" t="s">
        <v>65</v>
      </c>
      <c r="G42" s="9" t="s">
        <v>110</v>
      </c>
      <c r="H42" s="9"/>
      <c r="I42" s="9" t="s">
        <v>82</v>
      </c>
      <c r="J42" s="9" t="s">
        <v>111</v>
      </c>
      <c r="K42" s="9" t="s">
        <v>112</v>
      </c>
      <c r="L42" s="9"/>
      <c r="M42" s="12" t="s">
        <v>113</v>
      </c>
      <c r="N42" s="12" t="s">
        <v>114</v>
      </c>
      <c r="O42" s="12" t="s">
        <v>115</v>
      </c>
      <c r="P42" s="12" t="s">
        <v>116</v>
      </c>
      <c r="Q42" s="12"/>
      <c r="R42" s="12" t="s">
        <v>117</v>
      </c>
      <c r="S42" s="12" t="s">
        <v>236</v>
      </c>
      <c r="T42" s="6"/>
      <c r="U42" s="6" t="s">
        <v>237</v>
      </c>
      <c r="V42" s="6" t="s">
        <v>119</v>
      </c>
    </row>
    <row r="43" spans="1:22" ht="22.5" customHeight="1" x14ac:dyDescent="0.25">
      <c r="A43" s="6" t="s">
        <v>238</v>
      </c>
      <c r="B43" s="6" t="s">
        <v>63</v>
      </c>
      <c r="C43" s="6" t="s">
        <v>224</v>
      </c>
      <c r="D43" s="6"/>
      <c r="E43" s="6" t="s">
        <v>65</v>
      </c>
      <c r="F43" s="6" t="s">
        <v>65</v>
      </c>
      <c r="G43" s="9" t="s">
        <v>121</v>
      </c>
      <c r="H43" s="9" t="s">
        <v>122</v>
      </c>
      <c r="I43" s="9" t="s">
        <v>123</v>
      </c>
      <c r="J43" s="9" t="s">
        <v>111</v>
      </c>
      <c r="K43" s="9" t="s">
        <v>124</v>
      </c>
      <c r="L43" s="9" t="s">
        <v>125</v>
      </c>
      <c r="M43" s="12" t="s">
        <v>113</v>
      </c>
      <c r="N43" s="12" t="s">
        <v>126</v>
      </c>
      <c r="O43" s="12" t="s">
        <v>115</v>
      </c>
      <c r="P43" s="12" t="s">
        <v>127</v>
      </c>
      <c r="Q43" s="12"/>
      <c r="R43" s="12" t="s">
        <v>128</v>
      </c>
      <c r="S43" s="12" t="s">
        <v>236</v>
      </c>
      <c r="T43" s="6"/>
      <c r="U43" s="6" t="s">
        <v>239</v>
      </c>
      <c r="V43" s="6" t="s">
        <v>130</v>
      </c>
    </row>
    <row r="44" spans="1:22" ht="22.5" customHeight="1" x14ac:dyDescent="0.25">
      <c r="A44" s="6" t="s">
        <v>240</v>
      </c>
      <c r="B44" s="6" t="s">
        <v>63</v>
      </c>
      <c r="C44" s="6" t="s">
        <v>224</v>
      </c>
      <c r="D44" s="6"/>
      <c r="E44" s="6" t="s">
        <v>65</v>
      </c>
      <c r="F44" s="6" t="s">
        <v>65</v>
      </c>
      <c r="G44" s="9" t="s">
        <v>132</v>
      </c>
      <c r="H44" s="9" t="s">
        <v>241</v>
      </c>
      <c r="I44" s="9" t="s">
        <v>134</v>
      </c>
      <c r="J44" s="9" t="s">
        <v>134</v>
      </c>
      <c r="K44" s="9"/>
      <c r="L44" s="9"/>
      <c r="M44" s="12" t="s">
        <v>84</v>
      </c>
      <c r="N44" s="12" t="s">
        <v>135</v>
      </c>
      <c r="O44" s="12" t="s">
        <v>136</v>
      </c>
      <c r="P44" s="12" t="s">
        <v>137</v>
      </c>
      <c r="Q44" s="12"/>
      <c r="R44" s="12" t="s">
        <v>138</v>
      </c>
      <c r="S44" s="12" t="s">
        <v>30</v>
      </c>
      <c r="T44" s="6"/>
      <c r="U44" s="6" t="s">
        <v>242</v>
      </c>
      <c r="V44" s="6" t="s">
        <v>140</v>
      </c>
    </row>
    <row r="45" spans="1:22" ht="22.5" customHeight="1" x14ac:dyDescent="0.25">
      <c r="A45" s="6" t="s">
        <v>243</v>
      </c>
      <c r="B45" s="6" t="s">
        <v>63</v>
      </c>
      <c r="C45" s="6" t="s">
        <v>224</v>
      </c>
      <c r="D45" s="6"/>
      <c r="E45" s="6" t="s">
        <v>65</v>
      </c>
      <c r="F45" s="6" t="s">
        <v>65</v>
      </c>
      <c r="G45" s="9" t="s">
        <v>142</v>
      </c>
      <c r="H45" s="9" t="s">
        <v>143</v>
      </c>
      <c r="I45" s="9" t="s">
        <v>123</v>
      </c>
      <c r="J45" s="9" t="s">
        <v>111</v>
      </c>
      <c r="K45" s="9" t="s">
        <v>144</v>
      </c>
      <c r="L45" s="9" t="s">
        <v>125</v>
      </c>
      <c r="M45" s="12" t="s">
        <v>145</v>
      </c>
      <c r="N45" s="12"/>
      <c r="O45" s="12"/>
      <c r="P45" s="12"/>
      <c r="Q45" s="12"/>
      <c r="R45" s="12"/>
      <c r="S45" s="12" t="s">
        <v>36</v>
      </c>
      <c r="T45" s="6"/>
      <c r="U45" s="6" t="s">
        <v>244</v>
      </c>
      <c r="V45" s="6" t="s">
        <v>147</v>
      </c>
    </row>
    <row r="46" spans="1:22" ht="22.5" customHeight="1" x14ac:dyDescent="0.25">
      <c r="A46" s="6" t="s">
        <v>245</v>
      </c>
      <c r="B46" s="6" t="s">
        <v>63</v>
      </c>
      <c r="C46" s="6" t="s">
        <v>224</v>
      </c>
      <c r="D46" s="6"/>
      <c r="E46" s="6" t="s">
        <v>65</v>
      </c>
      <c r="F46" s="6" t="s">
        <v>65</v>
      </c>
      <c r="G46" s="9" t="s">
        <v>149</v>
      </c>
      <c r="H46" s="9" t="s">
        <v>150</v>
      </c>
      <c r="I46" s="9" t="s">
        <v>123</v>
      </c>
      <c r="J46" s="9" t="s">
        <v>111</v>
      </c>
      <c r="K46" s="9" t="s">
        <v>144</v>
      </c>
      <c r="L46" s="9" t="s">
        <v>125</v>
      </c>
      <c r="M46" s="12" t="s">
        <v>145</v>
      </c>
      <c r="N46" s="12"/>
      <c r="O46" s="12"/>
      <c r="P46" s="12"/>
      <c r="Q46" s="12"/>
      <c r="R46" s="12"/>
      <c r="S46" s="12" t="s">
        <v>36</v>
      </c>
      <c r="T46" s="6"/>
      <c r="U46" s="6" t="s">
        <v>246</v>
      </c>
      <c r="V46" s="6" t="s">
        <v>147</v>
      </c>
    </row>
    <row r="47" spans="1:22" ht="22.5" customHeight="1" x14ac:dyDescent="0.25">
      <c r="A47" s="6" t="s">
        <v>247</v>
      </c>
      <c r="B47" s="6" t="s">
        <v>63</v>
      </c>
      <c r="C47" s="6" t="s">
        <v>224</v>
      </c>
      <c r="D47" s="6"/>
      <c r="E47" s="6" t="s">
        <v>65</v>
      </c>
      <c r="F47" s="6" t="s">
        <v>65</v>
      </c>
      <c r="G47" s="9" t="s">
        <v>153</v>
      </c>
      <c r="H47" s="9" t="s">
        <v>154</v>
      </c>
      <c r="I47" s="9" t="s">
        <v>123</v>
      </c>
      <c r="J47" s="9" t="s">
        <v>111</v>
      </c>
      <c r="K47" s="9" t="s">
        <v>144</v>
      </c>
      <c r="L47" s="9" t="s">
        <v>125</v>
      </c>
      <c r="M47" s="12" t="s">
        <v>145</v>
      </c>
      <c r="N47" s="12"/>
      <c r="O47" s="12"/>
      <c r="P47" s="12"/>
      <c r="Q47" s="12"/>
      <c r="R47" s="12"/>
      <c r="S47" s="12" t="s">
        <v>36</v>
      </c>
      <c r="T47" s="6"/>
      <c r="U47" s="6" t="s">
        <v>248</v>
      </c>
      <c r="V47" s="6" t="s">
        <v>147</v>
      </c>
    </row>
    <row r="48" spans="1:22" ht="22.5" customHeight="1" x14ac:dyDescent="0.25">
      <c r="A48" s="6" t="s">
        <v>249</v>
      </c>
      <c r="B48" s="6" t="s">
        <v>63</v>
      </c>
      <c r="C48" s="6" t="s">
        <v>224</v>
      </c>
      <c r="D48" s="6"/>
      <c r="E48" s="6" t="s">
        <v>65</v>
      </c>
      <c r="F48" s="6" t="s">
        <v>65</v>
      </c>
      <c r="G48" s="9" t="s">
        <v>186</v>
      </c>
      <c r="H48" s="9" t="s">
        <v>250</v>
      </c>
      <c r="I48" s="9" t="s">
        <v>68</v>
      </c>
      <c r="J48" s="9" t="s">
        <v>251</v>
      </c>
      <c r="K48" s="9"/>
      <c r="L48" s="9"/>
      <c r="M48" s="12" t="s">
        <v>113</v>
      </c>
      <c r="N48" s="12" t="s">
        <v>252</v>
      </c>
      <c r="O48" s="12" t="s">
        <v>189</v>
      </c>
      <c r="P48" s="12" t="s">
        <v>253</v>
      </c>
      <c r="Q48" s="12"/>
      <c r="R48" s="12" t="s">
        <v>254</v>
      </c>
      <c r="S48" s="12" t="s">
        <v>30</v>
      </c>
      <c r="T48" s="6"/>
      <c r="U48" s="6" t="s">
        <v>255</v>
      </c>
      <c r="V48" s="6" t="s">
        <v>256</v>
      </c>
    </row>
    <row r="49" spans="1:22" ht="22.5" customHeight="1" x14ac:dyDescent="0.25">
      <c r="A49" s="6" t="s">
        <v>257</v>
      </c>
      <c r="B49" s="6" t="s">
        <v>63</v>
      </c>
      <c r="C49" s="6" t="s">
        <v>224</v>
      </c>
      <c r="D49" s="6"/>
      <c r="E49" s="6" t="s">
        <v>65</v>
      </c>
      <c r="F49" s="6" t="s">
        <v>65</v>
      </c>
      <c r="G49" s="9" t="s">
        <v>258</v>
      </c>
      <c r="H49" s="9" t="s">
        <v>250</v>
      </c>
      <c r="I49" s="9" t="s">
        <v>68</v>
      </c>
      <c r="J49" s="9" t="s">
        <v>251</v>
      </c>
      <c r="K49" s="9"/>
      <c r="L49" s="9"/>
      <c r="M49" s="12" t="s">
        <v>113</v>
      </c>
      <c r="N49" s="12" t="s">
        <v>252</v>
      </c>
      <c r="O49" s="12" t="s">
        <v>189</v>
      </c>
      <c r="P49" s="12" t="s">
        <v>253</v>
      </c>
      <c r="Q49" s="12"/>
      <c r="R49" s="12" t="s">
        <v>254</v>
      </c>
      <c r="S49" s="12" t="s">
        <v>30</v>
      </c>
      <c r="T49" s="6"/>
      <c r="U49" s="6" t="s">
        <v>259</v>
      </c>
      <c r="V49" s="6" t="s">
        <v>256</v>
      </c>
    </row>
    <row r="50" spans="1:22" ht="22.5" customHeight="1" x14ac:dyDescent="0.25">
      <c r="A50" s="6" t="s">
        <v>260</v>
      </c>
      <c r="B50" s="6" t="s">
        <v>63</v>
      </c>
      <c r="C50" s="6" t="s">
        <v>64</v>
      </c>
      <c r="D50" s="6" t="s">
        <v>261</v>
      </c>
      <c r="E50" s="6" t="s">
        <v>65</v>
      </c>
      <c r="F50" s="6" t="s">
        <v>65</v>
      </c>
      <c r="G50" s="9" t="s">
        <v>262</v>
      </c>
      <c r="H50" s="9" t="s">
        <v>263</v>
      </c>
      <c r="I50" s="9" t="s">
        <v>68</v>
      </c>
      <c r="J50" s="9" t="s">
        <v>69</v>
      </c>
      <c r="K50" s="9" t="s">
        <v>1582</v>
      </c>
      <c r="L50" s="9" t="s">
        <v>1583</v>
      </c>
      <c r="M50" s="12" t="s">
        <v>84</v>
      </c>
      <c r="N50" s="12" t="s">
        <v>1584</v>
      </c>
      <c r="O50" s="12" t="s">
        <v>1585</v>
      </c>
      <c r="P50" s="12" t="s">
        <v>1586</v>
      </c>
      <c r="Q50" s="12"/>
      <c r="R50" s="12" t="s">
        <v>1587</v>
      </c>
      <c r="S50" s="12" t="s">
        <v>1588</v>
      </c>
      <c r="T50" s="6" t="s">
        <v>264</v>
      </c>
      <c r="U50" s="6" t="s">
        <v>265</v>
      </c>
      <c r="V50" s="6" t="s">
        <v>1589</v>
      </c>
    </row>
    <row r="51" spans="1:22" ht="22.5" customHeight="1" x14ac:dyDescent="0.25">
      <c r="A51" s="6" t="s">
        <v>266</v>
      </c>
      <c r="B51" s="6" t="s">
        <v>63</v>
      </c>
      <c r="C51" s="6" t="s">
        <v>64</v>
      </c>
      <c r="D51" s="6" t="s">
        <v>261</v>
      </c>
      <c r="E51" s="6" t="s">
        <v>65</v>
      </c>
      <c r="F51" s="6" t="s">
        <v>65</v>
      </c>
      <c r="G51" s="9" t="s">
        <v>267</v>
      </c>
      <c r="H51" s="9" t="s">
        <v>268</v>
      </c>
      <c r="I51" s="9" t="s">
        <v>82</v>
      </c>
      <c r="J51" s="9" t="s">
        <v>69</v>
      </c>
      <c r="K51" s="9" t="s">
        <v>269</v>
      </c>
      <c r="L51" s="9"/>
      <c r="M51" s="12" t="s">
        <v>84</v>
      </c>
      <c r="N51" s="12" t="s">
        <v>270</v>
      </c>
      <c r="O51" s="12" t="s">
        <v>271</v>
      </c>
      <c r="P51" s="12" t="s">
        <v>272</v>
      </c>
      <c r="Q51" s="12"/>
      <c r="R51" s="12" t="s">
        <v>273</v>
      </c>
      <c r="S51" s="12" t="s">
        <v>30</v>
      </c>
      <c r="T51" s="6" t="s">
        <v>274</v>
      </c>
      <c r="U51" s="6" t="s">
        <v>275</v>
      </c>
      <c r="V51" s="6" t="s">
        <v>276</v>
      </c>
    </row>
    <row r="52" spans="1:22" ht="22.5" customHeight="1" x14ac:dyDescent="0.25">
      <c r="A52" s="6" t="s">
        <v>277</v>
      </c>
      <c r="B52" s="6" t="s">
        <v>63</v>
      </c>
      <c r="C52" s="6" t="s">
        <v>64</v>
      </c>
      <c r="D52" s="6" t="s">
        <v>261</v>
      </c>
      <c r="E52" s="6" t="s">
        <v>65</v>
      </c>
      <c r="F52" s="6" t="s">
        <v>65</v>
      </c>
      <c r="G52" s="9" t="s">
        <v>278</v>
      </c>
      <c r="H52" s="9" t="s">
        <v>279</v>
      </c>
      <c r="I52" s="9" t="s">
        <v>82</v>
      </c>
      <c r="J52" s="9" t="s">
        <v>111</v>
      </c>
      <c r="K52" s="9" t="s">
        <v>124</v>
      </c>
      <c r="L52" s="9"/>
      <c r="M52" s="12" t="s">
        <v>113</v>
      </c>
      <c r="N52" s="12" t="s">
        <v>1590</v>
      </c>
      <c r="O52" s="12" t="s">
        <v>1591</v>
      </c>
      <c r="P52" s="12" t="s">
        <v>1592</v>
      </c>
      <c r="Q52" s="12"/>
      <c r="R52" s="12" t="s">
        <v>1593</v>
      </c>
      <c r="S52" s="12" t="s">
        <v>30</v>
      </c>
      <c r="T52" s="6"/>
      <c r="U52" s="6" t="s">
        <v>280</v>
      </c>
      <c r="V52" s="6" t="s">
        <v>1594</v>
      </c>
    </row>
    <row r="53" spans="1:22" ht="22.5" customHeight="1" x14ac:dyDescent="0.25">
      <c r="A53" s="6" t="s">
        <v>281</v>
      </c>
      <c r="B53" s="6" t="s">
        <v>63</v>
      </c>
      <c r="C53" s="6" t="s">
        <v>64</v>
      </c>
      <c r="D53" s="6" t="s">
        <v>261</v>
      </c>
      <c r="E53" s="6" t="s">
        <v>65</v>
      </c>
      <c r="F53" s="6" t="s">
        <v>65</v>
      </c>
      <c r="G53" s="9" t="s">
        <v>282</v>
      </c>
      <c r="H53" s="9" t="s">
        <v>283</v>
      </c>
      <c r="I53" s="9" t="s">
        <v>68</v>
      </c>
      <c r="J53" s="9" t="s">
        <v>69</v>
      </c>
      <c r="K53" s="9" t="s">
        <v>284</v>
      </c>
      <c r="L53" s="9" t="s">
        <v>285</v>
      </c>
      <c r="M53" s="12" t="s">
        <v>113</v>
      </c>
      <c r="N53" s="12" t="s">
        <v>1595</v>
      </c>
      <c r="O53" s="12" t="s">
        <v>1596</v>
      </c>
      <c r="P53" s="12" t="s">
        <v>1597</v>
      </c>
      <c r="Q53" s="12"/>
      <c r="R53" s="12" t="s">
        <v>1598</v>
      </c>
      <c r="S53" s="12" t="s">
        <v>32</v>
      </c>
      <c r="T53" s="6" t="s">
        <v>286</v>
      </c>
      <c r="U53" s="6" t="s">
        <v>287</v>
      </c>
      <c r="V53" s="6" t="s">
        <v>1599</v>
      </c>
    </row>
    <row r="54" spans="1:22" ht="22.5" customHeight="1" x14ac:dyDescent="0.25">
      <c r="A54" s="6" t="s">
        <v>288</v>
      </c>
      <c r="B54" s="6" t="s">
        <v>63</v>
      </c>
      <c r="C54" s="6" t="s">
        <v>64</v>
      </c>
      <c r="D54" s="6" t="s">
        <v>261</v>
      </c>
      <c r="E54" s="6" t="s">
        <v>65</v>
      </c>
      <c r="F54" s="6" t="s">
        <v>65</v>
      </c>
      <c r="G54" s="9" t="s">
        <v>289</v>
      </c>
      <c r="H54" s="9" t="s">
        <v>290</v>
      </c>
      <c r="I54" s="9" t="s">
        <v>68</v>
      </c>
      <c r="J54" s="9" t="s">
        <v>69</v>
      </c>
      <c r="K54" s="9" t="s">
        <v>291</v>
      </c>
      <c r="L54" s="9"/>
      <c r="M54" s="12" t="s">
        <v>84</v>
      </c>
      <c r="N54" s="12" t="s">
        <v>292</v>
      </c>
      <c r="O54" s="12" t="s">
        <v>293</v>
      </c>
      <c r="P54" s="12" t="s">
        <v>294</v>
      </c>
      <c r="Q54" s="12"/>
      <c r="R54" s="12" t="s">
        <v>295</v>
      </c>
      <c r="S54" s="12" t="s">
        <v>32</v>
      </c>
      <c r="T54" s="6" t="s">
        <v>296</v>
      </c>
      <c r="U54" s="6" t="s">
        <v>297</v>
      </c>
      <c r="V54" s="6" t="s">
        <v>1600</v>
      </c>
    </row>
    <row r="55" spans="1:22" ht="22.5" customHeight="1" x14ac:dyDescent="0.25">
      <c r="A55" s="6" t="s">
        <v>298</v>
      </c>
      <c r="B55" s="6" t="s">
        <v>63</v>
      </c>
      <c r="C55" s="6" t="s">
        <v>64</v>
      </c>
      <c r="D55" s="6" t="s">
        <v>261</v>
      </c>
      <c r="E55" s="6" t="s">
        <v>65</v>
      </c>
      <c r="F55" s="6" t="s">
        <v>65</v>
      </c>
      <c r="G55" s="9" t="s">
        <v>299</v>
      </c>
      <c r="H55" s="9" t="s">
        <v>300</v>
      </c>
      <c r="I55" s="9" t="s">
        <v>82</v>
      </c>
      <c r="J55" s="9" t="s">
        <v>111</v>
      </c>
      <c r="K55" s="9" t="s">
        <v>301</v>
      </c>
      <c r="L55" s="9"/>
      <c r="M55" s="12" t="s">
        <v>113</v>
      </c>
      <c r="N55" s="12" t="s">
        <v>302</v>
      </c>
      <c r="O55" s="12" t="s">
        <v>303</v>
      </c>
      <c r="P55" s="12" t="s">
        <v>304</v>
      </c>
      <c r="Q55" s="12"/>
      <c r="R55" s="12" t="s">
        <v>305</v>
      </c>
      <c r="S55" s="12" t="s">
        <v>30</v>
      </c>
      <c r="T55" s="6" t="s">
        <v>306</v>
      </c>
      <c r="U55" s="6" t="s">
        <v>307</v>
      </c>
      <c r="V55" s="6" t="s">
        <v>308</v>
      </c>
    </row>
    <row r="56" spans="1:22" ht="22.5" customHeight="1" x14ac:dyDescent="0.25">
      <c r="A56" s="6" t="s">
        <v>309</v>
      </c>
      <c r="B56" s="6" t="s">
        <v>63</v>
      </c>
      <c r="C56" s="6" t="s">
        <v>64</v>
      </c>
      <c r="D56" s="6" t="s">
        <v>261</v>
      </c>
      <c r="E56" s="6" t="s">
        <v>65</v>
      </c>
      <c r="F56" s="6" t="s">
        <v>65</v>
      </c>
      <c r="G56" s="9" t="s">
        <v>310</v>
      </c>
      <c r="H56" s="9" t="s">
        <v>311</v>
      </c>
      <c r="I56" s="9" t="s">
        <v>134</v>
      </c>
      <c r="J56" s="9" t="s">
        <v>134</v>
      </c>
      <c r="K56" s="9"/>
      <c r="L56" s="9"/>
      <c r="M56" s="12" t="s">
        <v>71</v>
      </c>
      <c r="N56" s="12" t="s">
        <v>312</v>
      </c>
      <c r="O56" s="12" t="s">
        <v>313</v>
      </c>
      <c r="P56" s="12" t="s">
        <v>314</v>
      </c>
      <c r="Q56" s="12"/>
      <c r="R56" s="12" t="s">
        <v>315</v>
      </c>
      <c r="S56" s="12" t="s">
        <v>32</v>
      </c>
      <c r="T56" s="6"/>
      <c r="U56" s="6" t="s">
        <v>316</v>
      </c>
      <c r="V56" s="6" t="s">
        <v>1601</v>
      </c>
    </row>
    <row r="57" spans="1:22" ht="22.5" customHeight="1" x14ac:dyDescent="0.25">
      <c r="A57" s="6" t="s">
        <v>317</v>
      </c>
      <c r="B57" s="6" t="s">
        <v>63</v>
      </c>
      <c r="C57" s="6" t="s">
        <v>161</v>
      </c>
      <c r="D57" s="6" t="s">
        <v>261</v>
      </c>
      <c r="E57" s="6" t="s">
        <v>65</v>
      </c>
      <c r="F57" s="6" t="s">
        <v>65</v>
      </c>
      <c r="G57" s="9" t="s">
        <v>262</v>
      </c>
      <c r="H57" s="9" t="s">
        <v>318</v>
      </c>
      <c r="I57" s="9" t="s">
        <v>82</v>
      </c>
      <c r="J57" s="9" t="s">
        <v>111</v>
      </c>
      <c r="K57" s="9" t="s">
        <v>319</v>
      </c>
      <c r="L57" s="9" t="s">
        <v>320</v>
      </c>
      <c r="M57" s="12" t="s">
        <v>84</v>
      </c>
      <c r="N57" s="12" t="s">
        <v>321</v>
      </c>
      <c r="O57" s="12" t="s">
        <v>136</v>
      </c>
      <c r="P57" s="12" t="s">
        <v>322</v>
      </c>
      <c r="Q57" s="12"/>
      <c r="R57" s="12" t="s">
        <v>323</v>
      </c>
      <c r="S57" s="12" t="s">
        <v>30</v>
      </c>
      <c r="T57" s="6" t="s">
        <v>324</v>
      </c>
      <c r="U57" s="6" t="s">
        <v>325</v>
      </c>
      <c r="V57" s="6" t="s">
        <v>326</v>
      </c>
    </row>
    <row r="58" spans="1:22" ht="22.5" customHeight="1" x14ac:dyDescent="0.25">
      <c r="A58" s="6" t="s">
        <v>327</v>
      </c>
      <c r="B58" s="6" t="s">
        <v>63</v>
      </c>
      <c r="C58" s="6" t="s">
        <v>161</v>
      </c>
      <c r="D58" s="6" t="s">
        <v>261</v>
      </c>
      <c r="E58" s="6" t="s">
        <v>65</v>
      </c>
      <c r="F58" s="6" t="s">
        <v>65</v>
      </c>
      <c r="G58" s="9" t="s">
        <v>267</v>
      </c>
      <c r="H58" s="9" t="s">
        <v>328</v>
      </c>
      <c r="I58" s="9" t="s">
        <v>82</v>
      </c>
      <c r="J58" s="9" t="s">
        <v>69</v>
      </c>
      <c r="K58" s="9" t="s">
        <v>329</v>
      </c>
      <c r="L58" s="9"/>
      <c r="M58" s="12" t="s">
        <v>84</v>
      </c>
      <c r="N58" s="12" t="s">
        <v>270</v>
      </c>
      <c r="O58" s="12" t="s">
        <v>271</v>
      </c>
      <c r="P58" s="12" t="s">
        <v>272</v>
      </c>
      <c r="Q58" s="12"/>
      <c r="R58" s="12" t="s">
        <v>273</v>
      </c>
      <c r="S58" s="12" t="s">
        <v>30</v>
      </c>
      <c r="T58" s="6" t="s">
        <v>330</v>
      </c>
      <c r="U58" s="6" t="s">
        <v>331</v>
      </c>
      <c r="V58" s="6" t="s">
        <v>276</v>
      </c>
    </row>
    <row r="59" spans="1:22" ht="22.5" customHeight="1" x14ac:dyDescent="0.25">
      <c r="A59" s="6" t="s">
        <v>332</v>
      </c>
      <c r="B59" s="6" t="s">
        <v>63</v>
      </c>
      <c r="C59" s="6" t="s">
        <v>161</v>
      </c>
      <c r="D59" s="6" t="s">
        <v>261</v>
      </c>
      <c r="E59" s="6" t="s">
        <v>439</v>
      </c>
      <c r="F59" s="6" t="s">
        <v>439</v>
      </c>
      <c r="G59" s="9" t="s">
        <v>1602</v>
      </c>
      <c r="H59" s="9" t="s">
        <v>1603</v>
      </c>
      <c r="I59" s="9" t="s">
        <v>236</v>
      </c>
      <c r="J59" s="9" t="s">
        <v>236</v>
      </c>
      <c r="K59" s="9" t="s">
        <v>1604</v>
      </c>
      <c r="L59" s="9"/>
      <c r="M59" s="12" t="s">
        <v>1605</v>
      </c>
      <c r="N59" s="12" t="s">
        <v>236</v>
      </c>
      <c r="O59" s="12" t="s">
        <v>1606</v>
      </c>
      <c r="P59" s="12" t="s">
        <v>1607</v>
      </c>
      <c r="Q59" s="12"/>
      <c r="R59" s="12" t="s">
        <v>1608</v>
      </c>
      <c r="S59" s="12" t="s">
        <v>1609</v>
      </c>
      <c r="T59" s="6" t="s">
        <v>1610</v>
      </c>
      <c r="U59" s="6" t="s">
        <v>333</v>
      </c>
      <c r="V59" s="6" t="s">
        <v>1611</v>
      </c>
    </row>
    <row r="60" spans="1:22" ht="22.5" customHeight="1" x14ac:dyDescent="0.25">
      <c r="A60" s="6" t="s">
        <v>334</v>
      </c>
      <c r="B60" s="6" t="s">
        <v>63</v>
      </c>
      <c r="C60" s="6" t="s">
        <v>161</v>
      </c>
      <c r="D60" s="6" t="s">
        <v>261</v>
      </c>
      <c r="E60" s="6" t="s">
        <v>65</v>
      </c>
      <c r="F60" s="6" t="s">
        <v>65</v>
      </c>
      <c r="G60" s="9" t="s">
        <v>282</v>
      </c>
      <c r="H60" s="9" t="s">
        <v>335</v>
      </c>
      <c r="I60" s="9" t="s">
        <v>336</v>
      </c>
      <c r="J60" s="9" t="s">
        <v>111</v>
      </c>
      <c r="K60" s="9" t="s">
        <v>284</v>
      </c>
      <c r="L60" s="9" t="s">
        <v>285</v>
      </c>
      <c r="M60" s="12" t="s">
        <v>113</v>
      </c>
      <c r="N60" s="12" t="s">
        <v>337</v>
      </c>
      <c r="O60" s="12" t="s">
        <v>338</v>
      </c>
      <c r="P60" s="12" t="s">
        <v>339</v>
      </c>
      <c r="Q60" s="12"/>
      <c r="R60" s="12" t="s">
        <v>340</v>
      </c>
      <c r="S60" s="12" t="s">
        <v>30</v>
      </c>
      <c r="T60" s="6" t="s">
        <v>341</v>
      </c>
      <c r="U60" s="6" t="s">
        <v>342</v>
      </c>
      <c r="V60" s="6" t="s">
        <v>343</v>
      </c>
    </row>
    <row r="61" spans="1:22" ht="22.5" customHeight="1" x14ac:dyDescent="0.25">
      <c r="A61" s="6" t="s">
        <v>344</v>
      </c>
      <c r="B61" s="6" t="s">
        <v>63</v>
      </c>
      <c r="C61" s="6" t="s">
        <v>161</v>
      </c>
      <c r="D61" s="6" t="s">
        <v>261</v>
      </c>
      <c r="E61" s="6" t="s">
        <v>65</v>
      </c>
      <c r="F61" s="6" t="s">
        <v>65</v>
      </c>
      <c r="G61" s="9" t="s">
        <v>345</v>
      </c>
      <c r="H61" s="9" t="s">
        <v>346</v>
      </c>
      <c r="I61" s="9" t="s">
        <v>82</v>
      </c>
      <c r="J61" s="9" t="s">
        <v>111</v>
      </c>
      <c r="K61" s="9" t="s">
        <v>347</v>
      </c>
      <c r="L61" s="9"/>
      <c r="M61" s="12" t="s">
        <v>84</v>
      </c>
      <c r="N61" s="12" t="s">
        <v>348</v>
      </c>
      <c r="O61" s="12" t="s">
        <v>349</v>
      </c>
      <c r="P61" s="12" t="s">
        <v>350</v>
      </c>
      <c r="Q61" s="12"/>
      <c r="R61" s="12" t="s">
        <v>351</v>
      </c>
      <c r="S61" s="12" t="s">
        <v>30</v>
      </c>
      <c r="T61" s="6" t="s">
        <v>352</v>
      </c>
      <c r="U61" s="6" t="s">
        <v>353</v>
      </c>
      <c r="V61" s="6" t="s">
        <v>354</v>
      </c>
    </row>
    <row r="62" spans="1:22" ht="22.5" customHeight="1" x14ac:dyDescent="0.25">
      <c r="A62" s="6" t="s">
        <v>355</v>
      </c>
      <c r="B62" s="6" t="s">
        <v>63</v>
      </c>
      <c r="C62" s="6" t="s">
        <v>161</v>
      </c>
      <c r="D62" s="6" t="s">
        <v>261</v>
      </c>
      <c r="E62" s="6" t="s">
        <v>65</v>
      </c>
      <c r="F62" s="6" t="s">
        <v>65</v>
      </c>
      <c r="G62" s="9" t="s">
        <v>299</v>
      </c>
      <c r="H62" s="9" t="s">
        <v>300</v>
      </c>
      <c r="I62" s="9" t="s">
        <v>82</v>
      </c>
      <c r="J62" s="9" t="s">
        <v>111</v>
      </c>
      <c r="K62" s="9" t="s">
        <v>301</v>
      </c>
      <c r="L62" s="9"/>
      <c r="M62" s="12" t="s">
        <v>113</v>
      </c>
      <c r="N62" s="12" t="s">
        <v>302</v>
      </c>
      <c r="O62" s="12" t="s">
        <v>303</v>
      </c>
      <c r="P62" s="12" t="s">
        <v>304</v>
      </c>
      <c r="Q62" s="12"/>
      <c r="R62" s="12" t="s">
        <v>305</v>
      </c>
      <c r="S62" s="12" t="s">
        <v>30</v>
      </c>
      <c r="T62" s="6" t="s">
        <v>306</v>
      </c>
      <c r="U62" s="6" t="s">
        <v>356</v>
      </c>
      <c r="V62" s="6" t="s">
        <v>308</v>
      </c>
    </row>
    <row r="63" spans="1:22" ht="22.5" customHeight="1" x14ac:dyDescent="0.25">
      <c r="A63" s="6" t="s">
        <v>357</v>
      </c>
      <c r="B63" s="6" t="s">
        <v>63</v>
      </c>
      <c r="C63" s="6" t="s">
        <v>161</v>
      </c>
      <c r="D63" s="6" t="s">
        <v>261</v>
      </c>
      <c r="E63" s="6" t="s">
        <v>65</v>
      </c>
      <c r="F63" s="6" t="s">
        <v>65</v>
      </c>
      <c r="G63" s="9" t="s">
        <v>310</v>
      </c>
      <c r="H63" s="9" t="s">
        <v>358</v>
      </c>
      <c r="I63" s="9" t="s">
        <v>134</v>
      </c>
      <c r="J63" s="9" t="s">
        <v>134</v>
      </c>
      <c r="K63" s="9"/>
      <c r="L63" s="9"/>
      <c r="M63" s="12" t="s">
        <v>71</v>
      </c>
      <c r="N63" s="12" t="s">
        <v>312</v>
      </c>
      <c r="O63" s="12" t="s">
        <v>313</v>
      </c>
      <c r="P63" s="12" t="s">
        <v>314</v>
      </c>
      <c r="Q63" s="12"/>
      <c r="R63" s="12" t="s">
        <v>315</v>
      </c>
      <c r="S63" s="12" t="s">
        <v>30</v>
      </c>
      <c r="T63" s="6" t="s">
        <v>359</v>
      </c>
      <c r="U63" s="6" t="s">
        <v>360</v>
      </c>
      <c r="V63" s="6" t="s">
        <v>1612</v>
      </c>
    </row>
    <row r="64" spans="1:22" ht="22.5" customHeight="1" x14ac:dyDescent="0.25">
      <c r="A64" s="6" t="s">
        <v>361</v>
      </c>
      <c r="B64" s="6" t="s">
        <v>63</v>
      </c>
      <c r="C64" s="6" t="s">
        <v>196</v>
      </c>
      <c r="D64" s="6" t="s">
        <v>261</v>
      </c>
      <c r="E64" s="6" t="s">
        <v>65</v>
      </c>
      <c r="F64" s="6" t="s">
        <v>65</v>
      </c>
      <c r="G64" s="9" t="s">
        <v>262</v>
      </c>
      <c r="H64" s="9" t="s">
        <v>362</v>
      </c>
      <c r="I64" s="9" t="s">
        <v>82</v>
      </c>
      <c r="J64" s="9" t="s">
        <v>111</v>
      </c>
      <c r="K64" s="9" t="s">
        <v>363</v>
      </c>
      <c r="L64" s="9" t="s">
        <v>364</v>
      </c>
      <c r="M64" s="12" t="s">
        <v>84</v>
      </c>
      <c r="N64" s="12" t="s">
        <v>321</v>
      </c>
      <c r="O64" s="12" t="s">
        <v>136</v>
      </c>
      <c r="P64" s="12" t="s">
        <v>322</v>
      </c>
      <c r="Q64" s="12"/>
      <c r="R64" s="12" t="s">
        <v>323</v>
      </c>
      <c r="S64" s="12" t="s">
        <v>30</v>
      </c>
      <c r="T64" s="6" t="s">
        <v>365</v>
      </c>
      <c r="U64" s="6" t="s">
        <v>366</v>
      </c>
      <c r="V64" s="6" t="s">
        <v>326</v>
      </c>
    </row>
    <row r="65" spans="1:22" ht="22.5" customHeight="1" x14ac:dyDescent="0.25">
      <c r="A65" s="6" t="s">
        <v>367</v>
      </c>
      <c r="B65" s="6" t="s">
        <v>63</v>
      </c>
      <c r="C65" s="6" t="s">
        <v>196</v>
      </c>
      <c r="D65" s="6" t="s">
        <v>261</v>
      </c>
      <c r="E65" s="6" t="s">
        <v>65</v>
      </c>
      <c r="F65" s="6" t="s">
        <v>65</v>
      </c>
      <c r="G65" s="9" t="s">
        <v>267</v>
      </c>
      <c r="H65" s="9" t="s">
        <v>328</v>
      </c>
      <c r="I65" s="9" t="s">
        <v>82</v>
      </c>
      <c r="J65" s="9" t="s">
        <v>69</v>
      </c>
      <c r="K65" s="9" t="s">
        <v>368</v>
      </c>
      <c r="L65" s="9"/>
      <c r="M65" s="12" t="s">
        <v>84</v>
      </c>
      <c r="N65" s="12" t="s">
        <v>270</v>
      </c>
      <c r="O65" s="12" t="s">
        <v>271</v>
      </c>
      <c r="P65" s="12" t="s">
        <v>272</v>
      </c>
      <c r="Q65" s="12"/>
      <c r="R65" s="12" t="s">
        <v>273</v>
      </c>
      <c r="S65" s="12" t="s">
        <v>30</v>
      </c>
      <c r="T65" s="6" t="s">
        <v>330</v>
      </c>
      <c r="U65" s="6" t="s">
        <v>369</v>
      </c>
      <c r="V65" s="6" t="s">
        <v>276</v>
      </c>
    </row>
    <row r="66" spans="1:22" ht="22.5" customHeight="1" x14ac:dyDescent="0.25">
      <c r="A66" s="6" t="s">
        <v>370</v>
      </c>
      <c r="B66" s="6" t="s">
        <v>63</v>
      </c>
      <c r="C66" s="6" t="s">
        <v>196</v>
      </c>
      <c r="D66" s="6" t="s">
        <v>261</v>
      </c>
      <c r="E66" s="6" t="s">
        <v>439</v>
      </c>
      <c r="F66" s="6" t="s">
        <v>439</v>
      </c>
      <c r="G66" s="9" t="s">
        <v>1602</v>
      </c>
      <c r="H66" s="9" t="s">
        <v>1603</v>
      </c>
      <c r="I66" s="9" t="s">
        <v>236</v>
      </c>
      <c r="J66" s="9" t="s">
        <v>236</v>
      </c>
      <c r="K66" s="9" t="s">
        <v>1604</v>
      </c>
      <c r="L66" s="9"/>
      <c r="M66" s="12" t="s">
        <v>1605</v>
      </c>
      <c r="N66" s="12" t="s">
        <v>236</v>
      </c>
      <c r="O66" s="12" t="s">
        <v>1606</v>
      </c>
      <c r="P66" s="12" t="s">
        <v>1607</v>
      </c>
      <c r="Q66" s="12"/>
      <c r="R66" s="12" t="s">
        <v>1608</v>
      </c>
      <c r="S66" s="12" t="s">
        <v>1609</v>
      </c>
      <c r="T66" s="6" t="s">
        <v>1610</v>
      </c>
      <c r="U66" s="6" t="s">
        <v>371</v>
      </c>
      <c r="V66" s="6" t="s">
        <v>1611</v>
      </c>
    </row>
    <row r="67" spans="1:22" ht="22.5" customHeight="1" x14ac:dyDescent="0.25">
      <c r="A67" s="6" t="s">
        <v>372</v>
      </c>
      <c r="B67" s="6" t="s">
        <v>63</v>
      </c>
      <c r="C67" s="6" t="s">
        <v>196</v>
      </c>
      <c r="D67" s="6" t="s">
        <v>261</v>
      </c>
      <c r="E67" s="6" t="s">
        <v>65</v>
      </c>
      <c r="F67" s="6" t="s">
        <v>65</v>
      </c>
      <c r="G67" s="9" t="s">
        <v>282</v>
      </c>
      <c r="H67" s="9" t="s">
        <v>373</v>
      </c>
      <c r="I67" s="9" t="s">
        <v>336</v>
      </c>
      <c r="J67" s="9" t="s">
        <v>111</v>
      </c>
      <c r="K67" s="9" t="s">
        <v>284</v>
      </c>
      <c r="L67" s="9" t="s">
        <v>285</v>
      </c>
      <c r="M67" s="12" t="s">
        <v>113</v>
      </c>
      <c r="N67" s="12" t="s">
        <v>337</v>
      </c>
      <c r="O67" s="12" t="s">
        <v>338</v>
      </c>
      <c r="P67" s="12" t="s">
        <v>339</v>
      </c>
      <c r="Q67" s="12"/>
      <c r="R67" s="12" t="s">
        <v>340</v>
      </c>
      <c r="S67" s="12" t="s">
        <v>30</v>
      </c>
      <c r="T67" s="6" t="s">
        <v>341</v>
      </c>
      <c r="U67" s="6" t="s">
        <v>374</v>
      </c>
      <c r="V67" s="6" t="s">
        <v>343</v>
      </c>
    </row>
    <row r="68" spans="1:22" ht="22.5" customHeight="1" x14ac:dyDescent="0.25">
      <c r="A68" s="6" t="s">
        <v>375</v>
      </c>
      <c r="B68" s="6" t="s">
        <v>63</v>
      </c>
      <c r="C68" s="6" t="s">
        <v>196</v>
      </c>
      <c r="D68" s="6" t="s">
        <v>261</v>
      </c>
      <c r="E68" s="6" t="s">
        <v>65</v>
      </c>
      <c r="F68" s="6" t="s">
        <v>65</v>
      </c>
      <c r="G68" s="9" t="s">
        <v>345</v>
      </c>
      <c r="H68" s="9" t="s">
        <v>376</v>
      </c>
      <c r="I68" s="9" t="s">
        <v>82</v>
      </c>
      <c r="J68" s="9" t="s">
        <v>111</v>
      </c>
      <c r="K68" s="9" t="s">
        <v>377</v>
      </c>
      <c r="L68" s="9"/>
      <c r="M68" s="12" t="s">
        <v>84</v>
      </c>
      <c r="N68" s="12" t="s">
        <v>348</v>
      </c>
      <c r="O68" s="12" t="s">
        <v>349</v>
      </c>
      <c r="P68" s="12" t="s">
        <v>350</v>
      </c>
      <c r="Q68" s="12"/>
      <c r="R68" s="12" t="s">
        <v>351</v>
      </c>
      <c r="S68" s="12" t="s">
        <v>30</v>
      </c>
      <c r="T68" s="6" t="s">
        <v>352</v>
      </c>
      <c r="U68" s="6" t="s">
        <v>378</v>
      </c>
      <c r="V68" s="6" t="s">
        <v>354</v>
      </c>
    </row>
    <row r="69" spans="1:22" ht="22.5" customHeight="1" x14ac:dyDescent="0.25">
      <c r="A69" s="6" t="s">
        <v>379</v>
      </c>
      <c r="B69" s="6" t="s">
        <v>63</v>
      </c>
      <c r="C69" s="6" t="s">
        <v>196</v>
      </c>
      <c r="D69" s="6" t="s">
        <v>261</v>
      </c>
      <c r="E69" s="6" t="s">
        <v>65</v>
      </c>
      <c r="F69" s="6" t="s">
        <v>65</v>
      </c>
      <c r="G69" s="9" t="s">
        <v>299</v>
      </c>
      <c r="H69" s="9" t="s">
        <v>300</v>
      </c>
      <c r="I69" s="9" t="s">
        <v>82</v>
      </c>
      <c r="J69" s="9" t="s">
        <v>111</v>
      </c>
      <c r="K69" s="9" t="s">
        <v>301</v>
      </c>
      <c r="L69" s="9"/>
      <c r="M69" s="12" t="s">
        <v>113</v>
      </c>
      <c r="N69" s="12" t="s">
        <v>302</v>
      </c>
      <c r="O69" s="12" t="s">
        <v>303</v>
      </c>
      <c r="P69" s="12" t="s">
        <v>304</v>
      </c>
      <c r="Q69" s="12"/>
      <c r="R69" s="12" t="s">
        <v>305</v>
      </c>
      <c r="S69" s="12" t="s">
        <v>30</v>
      </c>
      <c r="T69" s="6" t="s">
        <v>306</v>
      </c>
      <c r="U69" s="6" t="s">
        <v>380</v>
      </c>
      <c r="V69" s="6" t="s">
        <v>308</v>
      </c>
    </row>
    <row r="70" spans="1:22" ht="22.5" customHeight="1" x14ac:dyDescent="0.25">
      <c r="A70" s="6" t="s">
        <v>381</v>
      </c>
      <c r="B70" s="6" t="s">
        <v>63</v>
      </c>
      <c r="C70" s="6" t="s">
        <v>196</v>
      </c>
      <c r="D70" s="6" t="s">
        <v>261</v>
      </c>
      <c r="E70" s="6" t="s">
        <v>65</v>
      </c>
      <c r="F70" s="6" t="s">
        <v>65</v>
      </c>
      <c r="G70" s="9" t="s">
        <v>310</v>
      </c>
      <c r="H70" s="9" t="s">
        <v>382</v>
      </c>
      <c r="I70" s="9" t="s">
        <v>134</v>
      </c>
      <c r="J70" s="9" t="s">
        <v>134</v>
      </c>
      <c r="K70" s="9"/>
      <c r="L70" s="9"/>
      <c r="M70" s="12" t="s">
        <v>71</v>
      </c>
      <c r="N70" s="12" t="s">
        <v>312</v>
      </c>
      <c r="O70" s="12" t="s">
        <v>313</v>
      </c>
      <c r="P70" s="12" t="s">
        <v>314</v>
      </c>
      <c r="Q70" s="12"/>
      <c r="R70" s="12" t="s">
        <v>315</v>
      </c>
      <c r="S70" s="12" t="s">
        <v>30</v>
      </c>
      <c r="T70" s="6" t="s">
        <v>359</v>
      </c>
      <c r="U70" s="6" t="s">
        <v>383</v>
      </c>
      <c r="V70" s="6" t="s">
        <v>1612</v>
      </c>
    </row>
    <row r="71" spans="1:22" ht="22.5" customHeight="1" x14ac:dyDescent="0.25">
      <c r="A71" s="6" t="s">
        <v>384</v>
      </c>
      <c r="B71" s="6" t="s">
        <v>63</v>
      </c>
      <c r="C71" s="6" t="s">
        <v>224</v>
      </c>
      <c r="D71" s="6" t="s">
        <v>261</v>
      </c>
      <c r="E71" s="6" t="s">
        <v>65</v>
      </c>
      <c r="F71" s="6" t="s">
        <v>65</v>
      </c>
      <c r="G71" s="9" t="s">
        <v>262</v>
      </c>
      <c r="H71" s="9" t="s">
        <v>385</v>
      </c>
      <c r="I71" s="9" t="s">
        <v>68</v>
      </c>
      <c r="J71" s="9" t="s">
        <v>69</v>
      </c>
      <c r="K71" s="9" t="s">
        <v>386</v>
      </c>
      <c r="L71" s="9" t="s">
        <v>387</v>
      </c>
      <c r="M71" s="12" t="s">
        <v>84</v>
      </c>
      <c r="N71" s="12" t="s">
        <v>321</v>
      </c>
      <c r="O71" s="12" t="s">
        <v>136</v>
      </c>
      <c r="P71" s="12" t="s">
        <v>322</v>
      </c>
      <c r="Q71" s="12"/>
      <c r="R71" s="12" t="s">
        <v>323</v>
      </c>
      <c r="S71" s="12" t="s">
        <v>30</v>
      </c>
      <c r="T71" s="6" t="s">
        <v>388</v>
      </c>
      <c r="U71" s="6" t="s">
        <v>389</v>
      </c>
      <c r="V71" s="6" t="s">
        <v>326</v>
      </c>
    </row>
    <row r="72" spans="1:22" ht="22.5" customHeight="1" x14ac:dyDescent="0.25">
      <c r="A72" s="6" t="s">
        <v>390</v>
      </c>
      <c r="B72" s="6" t="s">
        <v>63</v>
      </c>
      <c r="C72" s="6" t="s">
        <v>224</v>
      </c>
      <c r="D72" s="6" t="s">
        <v>261</v>
      </c>
      <c r="E72" s="6" t="s">
        <v>65</v>
      </c>
      <c r="F72" s="6" t="s">
        <v>65</v>
      </c>
      <c r="G72" s="9" t="s">
        <v>267</v>
      </c>
      <c r="H72" s="9" t="s">
        <v>328</v>
      </c>
      <c r="I72" s="9" t="s">
        <v>82</v>
      </c>
      <c r="J72" s="9" t="s">
        <v>69</v>
      </c>
      <c r="K72" s="9" t="s">
        <v>391</v>
      </c>
      <c r="L72" s="9"/>
      <c r="M72" s="12" t="s">
        <v>84</v>
      </c>
      <c r="N72" s="12" t="s">
        <v>270</v>
      </c>
      <c r="O72" s="12" t="s">
        <v>271</v>
      </c>
      <c r="P72" s="12" t="s">
        <v>272</v>
      </c>
      <c r="Q72" s="12"/>
      <c r="R72" s="12" t="s">
        <v>273</v>
      </c>
      <c r="S72" s="12" t="s">
        <v>30</v>
      </c>
      <c r="T72" s="6" t="s">
        <v>330</v>
      </c>
      <c r="U72" s="6" t="s">
        <v>392</v>
      </c>
      <c r="V72" s="6" t="s">
        <v>276</v>
      </c>
    </row>
    <row r="73" spans="1:22" ht="22.5" customHeight="1" x14ac:dyDescent="0.25">
      <c r="A73" s="6" t="s">
        <v>393</v>
      </c>
      <c r="B73" s="6" t="s">
        <v>63</v>
      </c>
      <c r="C73" s="6" t="s">
        <v>224</v>
      </c>
      <c r="D73" s="6" t="s">
        <v>261</v>
      </c>
      <c r="E73" s="6" t="s">
        <v>439</v>
      </c>
      <c r="F73" s="6" t="s">
        <v>439</v>
      </c>
      <c r="G73" s="9" t="s">
        <v>1602</v>
      </c>
      <c r="H73" s="9" t="s">
        <v>1603</v>
      </c>
      <c r="I73" s="9" t="s">
        <v>236</v>
      </c>
      <c r="J73" s="9" t="s">
        <v>236</v>
      </c>
      <c r="K73" s="9" t="s">
        <v>1604</v>
      </c>
      <c r="L73" s="9"/>
      <c r="M73" s="12" t="s">
        <v>1605</v>
      </c>
      <c r="N73" s="12" t="s">
        <v>236</v>
      </c>
      <c r="O73" s="12" t="s">
        <v>1606</v>
      </c>
      <c r="P73" s="12" t="s">
        <v>1607</v>
      </c>
      <c r="Q73" s="12"/>
      <c r="R73" s="12" t="s">
        <v>1608</v>
      </c>
      <c r="S73" s="12" t="s">
        <v>1609</v>
      </c>
      <c r="T73" s="6" t="s">
        <v>1610</v>
      </c>
      <c r="U73" s="6" t="s">
        <v>394</v>
      </c>
      <c r="V73" s="6" t="s">
        <v>1611</v>
      </c>
    </row>
    <row r="74" spans="1:22" ht="22.5" customHeight="1" x14ac:dyDescent="0.25">
      <c r="A74" s="6" t="s">
        <v>395</v>
      </c>
      <c r="B74" s="6" t="s">
        <v>63</v>
      </c>
      <c r="C74" s="6" t="s">
        <v>224</v>
      </c>
      <c r="D74" s="6" t="s">
        <v>261</v>
      </c>
      <c r="E74" s="6" t="s">
        <v>65</v>
      </c>
      <c r="F74" s="6" t="s">
        <v>65</v>
      </c>
      <c r="G74" s="9" t="s">
        <v>282</v>
      </c>
      <c r="H74" s="9" t="s">
        <v>396</v>
      </c>
      <c r="I74" s="9" t="s">
        <v>68</v>
      </c>
      <c r="J74" s="9" t="s">
        <v>69</v>
      </c>
      <c r="K74" s="9" t="s">
        <v>284</v>
      </c>
      <c r="L74" s="9" t="s">
        <v>285</v>
      </c>
      <c r="M74" s="12" t="s">
        <v>113</v>
      </c>
      <c r="N74" s="12" t="s">
        <v>337</v>
      </c>
      <c r="O74" s="12" t="s">
        <v>338</v>
      </c>
      <c r="P74" s="12" t="s">
        <v>339</v>
      </c>
      <c r="Q74" s="12"/>
      <c r="R74" s="12" t="s">
        <v>340</v>
      </c>
      <c r="S74" s="12" t="s">
        <v>30</v>
      </c>
      <c r="T74" s="6" t="s">
        <v>286</v>
      </c>
      <c r="U74" s="6" t="s">
        <v>397</v>
      </c>
      <c r="V74" s="6" t="s">
        <v>398</v>
      </c>
    </row>
    <row r="75" spans="1:22" ht="22.5" customHeight="1" x14ac:dyDescent="0.25">
      <c r="A75" s="6" t="s">
        <v>399</v>
      </c>
      <c r="B75" s="6" t="s">
        <v>63</v>
      </c>
      <c r="C75" s="6" t="s">
        <v>224</v>
      </c>
      <c r="D75" s="6" t="s">
        <v>261</v>
      </c>
      <c r="E75" s="6" t="s">
        <v>439</v>
      </c>
      <c r="F75" s="6" t="s">
        <v>439</v>
      </c>
      <c r="G75" s="9" t="s">
        <v>1613</v>
      </c>
      <c r="H75" s="9" t="s">
        <v>1614</v>
      </c>
      <c r="I75" s="9" t="s">
        <v>236</v>
      </c>
      <c r="J75" s="9" t="s">
        <v>236</v>
      </c>
      <c r="K75" s="9" t="s">
        <v>1604</v>
      </c>
      <c r="L75" s="9"/>
      <c r="M75" s="12" t="s">
        <v>1605</v>
      </c>
      <c r="N75" s="12" t="s">
        <v>236</v>
      </c>
      <c r="O75" s="12" t="s">
        <v>1615</v>
      </c>
      <c r="P75" s="12" t="s">
        <v>1616</v>
      </c>
      <c r="Q75" s="12"/>
      <c r="R75" s="12" t="s">
        <v>1617</v>
      </c>
      <c r="S75" s="12" t="s">
        <v>1609</v>
      </c>
      <c r="T75" s="6" t="s">
        <v>1618</v>
      </c>
      <c r="U75" s="6" t="s">
        <v>400</v>
      </c>
      <c r="V75" s="6" t="s">
        <v>1619</v>
      </c>
    </row>
    <row r="76" spans="1:22" ht="22.5" customHeight="1" x14ac:dyDescent="0.25">
      <c r="A76" s="6" t="s">
        <v>401</v>
      </c>
      <c r="B76" s="6" t="s">
        <v>63</v>
      </c>
      <c r="C76" s="6" t="s">
        <v>224</v>
      </c>
      <c r="D76" s="6" t="s">
        <v>261</v>
      </c>
      <c r="E76" s="6" t="s">
        <v>65</v>
      </c>
      <c r="F76" s="6" t="s">
        <v>65</v>
      </c>
      <c r="G76" s="9" t="s">
        <v>299</v>
      </c>
      <c r="H76" s="9" t="s">
        <v>300</v>
      </c>
      <c r="I76" s="9" t="s">
        <v>82</v>
      </c>
      <c r="J76" s="9" t="s">
        <v>111</v>
      </c>
      <c r="K76" s="9" t="s">
        <v>301</v>
      </c>
      <c r="L76" s="9"/>
      <c r="M76" s="12" t="s">
        <v>113</v>
      </c>
      <c r="N76" s="12" t="s">
        <v>302</v>
      </c>
      <c r="O76" s="12" t="s">
        <v>303</v>
      </c>
      <c r="P76" s="12" t="s">
        <v>304</v>
      </c>
      <c r="Q76" s="12"/>
      <c r="R76" s="12" t="s">
        <v>305</v>
      </c>
      <c r="S76" s="12" t="s">
        <v>30</v>
      </c>
      <c r="T76" s="6" t="s">
        <v>306</v>
      </c>
      <c r="U76" s="6" t="s">
        <v>402</v>
      </c>
      <c r="V76" s="6" t="s">
        <v>308</v>
      </c>
    </row>
    <row r="77" spans="1:22" ht="22.5" customHeight="1" x14ac:dyDescent="0.25">
      <c r="A77" s="6" t="s">
        <v>403</v>
      </c>
      <c r="B77" s="6" t="s">
        <v>63</v>
      </c>
      <c r="C77" s="6" t="s">
        <v>224</v>
      </c>
      <c r="D77" s="6" t="s">
        <v>261</v>
      </c>
      <c r="E77" s="6" t="s">
        <v>65</v>
      </c>
      <c r="F77" s="6" t="s">
        <v>65</v>
      </c>
      <c r="G77" s="9" t="s">
        <v>310</v>
      </c>
      <c r="H77" s="9" t="s">
        <v>404</v>
      </c>
      <c r="I77" s="9" t="s">
        <v>134</v>
      </c>
      <c r="J77" s="9" t="s">
        <v>134</v>
      </c>
      <c r="K77" s="9"/>
      <c r="L77" s="9"/>
      <c r="M77" s="12" t="s">
        <v>71</v>
      </c>
      <c r="N77" s="12" t="s">
        <v>312</v>
      </c>
      <c r="O77" s="12" t="s">
        <v>313</v>
      </c>
      <c r="P77" s="12" t="s">
        <v>314</v>
      </c>
      <c r="Q77" s="12"/>
      <c r="R77" s="12" t="s">
        <v>315</v>
      </c>
      <c r="S77" s="12" t="s">
        <v>30</v>
      </c>
      <c r="T77" s="6" t="s">
        <v>359</v>
      </c>
      <c r="U77" s="6" t="s">
        <v>405</v>
      </c>
      <c r="V77" s="6" t="s">
        <v>1612</v>
      </c>
    </row>
    <row r="78" spans="1:22" ht="22.5" customHeight="1" x14ac:dyDescent="0.25">
      <c r="A78" s="6" t="s">
        <v>406</v>
      </c>
      <c r="B78" s="6" t="s">
        <v>63</v>
      </c>
      <c r="C78" s="6" t="s">
        <v>407</v>
      </c>
      <c r="D78" s="6" t="s">
        <v>408</v>
      </c>
      <c r="E78" s="6" t="s">
        <v>65</v>
      </c>
      <c r="F78" s="6" t="s">
        <v>65</v>
      </c>
      <c r="G78" s="9" t="s">
        <v>409</v>
      </c>
      <c r="H78" s="9" t="s">
        <v>410</v>
      </c>
      <c r="I78" s="9" t="s">
        <v>411</v>
      </c>
      <c r="J78" s="9" t="s">
        <v>412</v>
      </c>
      <c r="K78" s="9" t="s">
        <v>413</v>
      </c>
      <c r="L78" s="9" t="s">
        <v>414</v>
      </c>
      <c r="M78" s="12" t="s">
        <v>71</v>
      </c>
      <c r="N78" s="12" t="s">
        <v>415</v>
      </c>
      <c r="O78" s="12" t="s">
        <v>416</v>
      </c>
      <c r="P78" s="12" t="s">
        <v>417</v>
      </c>
      <c r="Q78" s="12"/>
      <c r="R78" s="12" t="s">
        <v>418</v>
      </c>
      <c r="S78" s="12" t="s">
        <v>30</v>
      </c>
      <c r="T78" s="6" t="s">
        <v>419</v>
      </c>
      <c r="U78" s="6" t="s">
        <v>420</v>
      </c>
      <c r="V78" s="6" t="s">
        <v>421</v>
      </c>
    </row>
    <row r="79" spans="1:22" ht="22.5" customHeight="1" x14ac:dyDescent="0.25">
      <c r="A79" s="6" t="s">
        <v>422</v>
      </c>
      <c r="B79" s="6" t="s">
        <v>63</v>
      </c>
      <c r="C79" s="6" t="s">
        <v>423</v>
      </c>
      <c r="D79" s="6" t="s">
        <v>408</v>
      </c>
      <c r="E79" s="6" t="s">
        <v>65</v>
      </c>
      <c r="F79" s="6" t="s">
        <v>65</v>
      </c>
      <c r="G79" s="9" t="s">
        <v>424</v>
      </c>
      <c r="H79" s="9" t="s">
        <v>425</v>
      </c>
      <c r="I79" s="9" t="s">
        <v>426</v>
      </c>
      <c r="J79" s="9" t="s">
        <v>427</v>
      </c>
      <c r="K79" s="9" t="s">
        <v>413</v>
      </c>
      <c r="L79" s="9"/>
      <c r="M79" s="12" t="s">
        <v>113</v>
      </c>
      <c r="N79" s="12" t="s">
        <v>428</v>
      </c>
      <c r="O79" s="12" t="s">
        <v>429</v>
      </c>
      <c r="P79" s="12" t="s">
        <v>430</v>
      </c>
      <c r="Q79" s="12"/>
      <c r="R79" s="12" t="s">
        <v>431</v>
      </c>
      <c r="S79" s="12" t="s">
        <v>30</v>
      </c>
      <c r="T79" s="6" t="s">
        <v>432</v>
      </c>
      <c r="U79" s="6" t="s">
        <v>433</v>
      </c>
      <c r="V79" s="6" t="s">
        <v>434</v>
      </c>
    </row>
    <row r="80" spans="1:22" ht="22.5" customHeight="1" x14ac:dyDescent="0.25">
      <c r="A80" s="6" t="s">
        <v>435</v>
      </c>
      <c r="B80" s="6" t="s">
        <v>63</v>
      </c>
      <c r="C80" s="6" t="s">
        <v>423</v>
      </c>
      <c r="D80" s="6" t="s">
        <v>408</v>
      </c>
      <c r="E80" s="6" t="s">
        <v>65</v>
      </c>
      <c r="F80" s="6" t="s">
        <v>65</v>
      </c>
      <c r="G80" s="9" t="s">
        <v>436</v>
      </c>
      <c r="H80" s="9" t="s">
        <v>425</v>
      </c>
      <c r="I80" s="9" t="s">
        <v>426</v>
      </c>
      <c r="J80" s="9" t="s">
        <v>427</v>
      </c>
      <c r="K80" s="9" t="s">
        <v>413</v>
      </c>
      <c r="L80" s="9"/>
      <c r="M80" s="12" t="s">
        <v>113</v>
      </c>
      <c r="N80" s="12" t="s">
        <v>428</v>
      </c>
      <c r="O80" s="12" t="s">
        <v>429</v>
      </c>
      <c r="P80" s="12" t="s">
        <v>430</v>
      </c>
      <c r="Q80" s="12"/>
      <c r="R80" s="12" t="s">
        <v>431</v>
      </c>
      <c r="S80" s="12" t="s">
        <v>30</v>
      </c>
      <c r="T80" s="6" t="s">
        <v>432</v>
      </c>
      <c r="U80" s="6" t="s">
        <v>437</v>
      </c>
      <c r="V80" s="6" t="s">
        <v>434</v>
      </c>
    </row>
    <row r="81" spans="1:22" ht="22.5" customHeight="1" x14ac:dyDescent="0.25">
      <c r="A81" s="6" t="s">
        <v>438</v>
      </c>
      <c r="B81" s="6" t="s">
        <v>63</v>
      </c>
      <c r="C81" s="6" t="s">
        <v>423</v>
      </c>
      <c r="D81" s="6" t="s">
        <v>408</v>
      </c>
      <c r="E81" s="6" t="s">
        <v>65</v>
      </c>
      <c r="F81" s="6" t="s">
        <v>439</v>
      </c>
      <c r="G81" s="9" t="s">
        <v>440</v>
      </c>
      <c r="H81" s="9" t="s">
        <v>425</v>
      </c>
      <c r="I81" s="9" t="s">
        <v>426</v>
      </c>
      <c r="J81" s="9" t="s">
        <v>427</v>
      </c>
      <c r="K81" s="9" t="s">
        <v>413</v>
      </c>
      <c r="L81" s="9"/>
      <c r="M81" s="12" t="s">
        <v>113</v>
      </c>
      <c r="N81" s="12" t="s">
        <v>428</v>
      </c>
      <c r="O81" s="12" t="s">
        <v>429</v>
      </c>
      <c r="P81" s="12" t="s">
        <v>430</v>
      </c>
      <c r="Q81" s="12"/>
      <c r="R81" s="12" t="s">
        <v>431</v>
      </c>
      <c r="S81" s="12" t="s">
        <v>30</v>
      </c>
      <c r="T81" s="6" t="s">
        <v>432</v>
      </c>
      <c r="U81" s="6" t="s">
        <v>441</v>
      </c>
      <c r="V81" s="6" t="s">
        <v>434</v>
      </c>
    </row>
    <row r="82" spans="1:22" ht="22.5" customHeight="1" x14ac:dyDescent="0.25">
      <c r="A82" s="6" t="s">
        <v>442</v>
      </c>
      <c r="B82" s="6" t="s">
        <v>63</v>
      </c>
      <c r="C82" s="6" t="s">
        <v>423</v>
      </c>
      <c r="D82" s="6" t="s">
        <v>408</v>
      </c>
      <c r="E82" s="6" t="s">
        <v>65</v>
      </c>
      <c r="F82" s="6" t="s">
        <v>65</v>
      </c>
      <c r="G82" s="9" t="s">
        <v>443</v>
      </c>
      <c r="H82" s="9" t="s">
        <v>425</v>
      </c>
      <c r="I82" s="9" t="s">
        <v>426</v>
      </c>
      <c r="J82" s="9" t="s">
        <v>427</v>
      </c>
      <c r="K82" s="9" t="s">
        <v>413</v>
      </c>
      <c r="L82" s="9"/>
      <c r="M82" s="12" t="s">
        <v>113</v>
      </c>
      <c r="N82" s="12" t="s">
        <v>428</v>
      </c>
      <c r="O82" s="12" t="s">
        <v>429</v>
      </c>
      <c r="P82" s="12" t="s">
        <v>430</v>
      </c>
      <c r="Q82" s="12"/>
      <c r="R82" s="12" t="s">
        <v>431</v>
      </c>
      <c r="S82" s="12" t="s">
        <v>30</v>
      </c>
      <c r="T82" s="6" t="s">
        <v>432</v>
      </c>
      <c r="U82" s="6" t="s">
        <v>444</v>
      </c>
      <c r="V82" s="6" t="s">
        <v>434</v>
      </c>
    </row>
    <row r="83" spans="1:22" ht="22.5" customHeight="1" x14ac:dyDescent="0.25">
      <c r="A83" s="6" t="s">
        <v>445</v>
      </c>
      <c r="B83" s="6" t="s">
        <v>63</v>
      </c>
      <c r="C83" s="6" t="s">
        <v>407</v>
      </c>
      <c r="D83" s="6" t="s">
        <v>408</v>
      </c>
      <c r="E83" s="6" t="s">
        <v>65</v>
      </c>
      <c r="F83" s="6" t="s">
        <v>65</v>
      </c>
      <c r="G83" s="9" t="s">
        <v>446</v>
      </c>
      <c r="H83" s="9" t="s">
        <v>410</v>
      </c>
      <c r="I83" s="9" t="s">
        <v>411</v>
      </c>
      <c r="J83" s="9" t="s">
        <v>412</v>
      </c>
      <c r="K83" s="9" t="s">
        <v>413</v>
      </c>
      <c r="L83" s="9" t="s">
        <v>414</v>
      </c>
      <c r="M83" s="12" t="s">
        <v>71</v>
      </c>
      <c r="N83" s="12" t="s">
        <v>415</v>
      </c>
      <c r="O83" s="12" t="s">
        <v>416</v>
      </c>
      <c r="P83" s="12" t="s">
        <v>417</v>
      </c>
      <c r="Q83" s="12"/>
      <c r="R83" s="12" t="s">
        <v>418</v>
      </c>
      <c r="S83" s="12" t="s">
        <v>30</v>
      </c>
      <c r="T83" s="6" t="s">
        <v>447</v>
      </c>
      <c r="U83" s="6" t="s">
        <v>448</v>
      </c>
      <c r="V83" s="6" t="s">
        <v>421</v>
      </c>
    </row>
    <row r="84" spans="1:22" ht="22.5" customHeight="1" x14ac:dyDescent="0.25">
      <c r="A84" s="6" t="s">
        <v>449</v>
      </c>
      <c r="B84" s="6" t="s">
        <v>63</v>
      </c>
      <c r="C84" s="6" t="s">
        <v>407</v>
      </c>
      <c r="D84" s="6" t="s">
        <v>408</v>
      </c>
      <c r="E84" s="6" t="s">
        <v>65</v>
      </c>
      <c r="F84" s="6" t="s">
        <v>65</v>
      </c>
      <c r="G84" s="9" t="s">
        <v>450</v>
      </c>
      <c r="H84" s="9" t="s">
        <v>410</v>
      </c>
      <c r="I84" s="9" t="s">
        <v>411</v>
      </c>
      <c r="J84" s="9" t="s">
        <v>412</v>
      </c>
      <c r="K84" s="9" t="s">
        <v>413</v>
      </c>
      <c r="L84" s="9" t="s">
        <v>414</v>
      </c>
      <c r="M84" s="12" t="s">
        <v>71</v>
      </c>
      <c r="N84" s="12" t="s">
        <v>415</v>
      </c>
      <c r="O84" s="12" t="s">
        <v>416</v>
      </c>
      <c r="P84" s="12" t="s">
        <v>417</v>
      </c>
      <c r="Q84" s="12"/>
      <c r="R84" s="12" t="s">
        <v>418</v>
      </c>
      <c r="S84" s="12" t="s">
        <v>30</v>
      </c>
      <c r="T84" s="6" t="s">
        <v>419</v>
      </c>
      <c r="U84" s="6" t="s">
        <v>451</v>
      </c>
      <c r="V84" s="6" t="s">
        <v>421</v>
      </c>
    </row>
    <row r="85" spans="1:22" ht="22.5" customHeight="1" x14ac:dyDescent="0.25">
      <c r="A85" s="6" t="s">
        <v>452</v>
      </c>
      <c r="B85" s="6" t="s">
        <v>63</v>
      </c>
      <c r="C85" s="6" t="s">
        <v>423</v>
      </c>
      <c r="D85" s="6" t="s">
        <v>408</v>
      </c>
      <c r="E85" s="6" t="s">
        <v>65</v>
      </c>
      <c r="F85" s="6" t="s">
        <v>65</v>
      </c>
      <c r="G85" s="9" t="s">
        <v>453</v>
      </c>
      <c r="H85" s="9" t="s">
        <v>425</v>
      </c>
      <c r="I85" s="9" t="s">
        <v>426</v>
      </c>
      <c r="J85" s="9" t="s">
        <v>427</v>
      </c>
      <c r="K85" s="9" t="s">
        <v>413</v>
      </c>
      <c r="L85" s="9"/>
      <c r="M85" s="12" t="s">
        <v>113</v>
      </c>
      <c r="N85" s="12" t="s">
        <v>428</v>
      </c>
      <c r="O85" s="12" t="s">
        <v>429</v>
      </c>
      <c r="P85" s="12" t="s">
        <v>430</v>
      </c>
      <c r="Q85" s="12"/>
      <c r="R85" s="12" t="s">
        <v>431</v>
      </c>
      <c r="S85" s="12" t="s">
        <v>30</v>
      </c>
      <c r="T85" s="6" t="s">
        <v>432</v>
      </c>
      <c r="U85" s="6" t="s">
        <v>454</v>
      </c>
      <c r="V85" s="6" t="s">
        <v>434</v>
      </c>
    </row>
    <row r="86" spans="1:22" ht="22.5" customHeight="1" x14ac:dyDescent="0.25">
      <c r="A86" s="6" t="s">
        <v>455</v>
      </c>
      <c r="B86" s="6" t="s">
        <v>63</v>
      </c>
      <c r="C86" s="6" t="s">
        <v>407</v>
      </c>
      <c r="D86" s="6" t="s">
        <v>408</v>
      </c>
      <c r="E86" s="6" t="s">
        <v>65</v>
      </c>
      <c r="F86" s="6" t="s">
        <v>65</v>
      </c>
      <c r="G86" s="9" t="s">
        <v>456</v>
      </c>
      <c r="H86" s="9" t="s">
        <v>410</v>
      </c>
      <c r="I86" s="9" t="s">
        <v>411</v>
      </c>
      <c r="J86" s="9" t="s">
        <v>412</v>
      </c>
      <c r="K86" s="9" t="s">
        <v>413</v>
      </c>
      <c r="L86" s="9" t="s">
        <v>414</v>
      </c>
      <c r="M86" s="12" t="s">
        <v>71</v>
      </c>
      <c r="N86" s="12" t="s">
        <v>415</v>
      </c>
      <c r="O86" s="12" t="s">
        <v>416</v>
      </c>
      <c r="P86" s="12" t="s">
        <v>417</v>
      </c>
      <c r="Q86" s="12"/>
      <c r="R86" s="12" t="s">
        <v>418</v>
      </c>
      <c r="S86" s="12" t="s">
        <v>30</v>
      </c>
      <c r="T86" s="6" t="s">
        <v>419</v>
      </c>
      <c r="U86" s="6" t="s">
        <v>457</v>
      </c>
      <c r="V86" s="6" t="s">
        <v>421</v>
      </c>
    </row>
    <row r="87" spans="1:22" ht="22.5" customHeight="1" x14ac:dyDescent="0.25">
      <c r="A87" s="6" t="s">
        <v>458</v>
      </c>
      <c r="B87" s="6" t="s">
        <v>63</v>
      </c>
      <c r="C87" s="6" t="s">
        <v>423</v>
      </c>
      <c r="D87" s="6" t="s">
        <v>408</v>
      </c>
      <c r="E87" s="6" t="s">
        <v>65</v>
      </c>
      <c r="F87" s="6" t="s">
        <v>65</v>
      </c>
      <c r="G87" s="9" t="s">
        <v>459</v>
      </c>
      <c r="H87" s="9" t="s">
        <v>425</v>
      </c>
      <c r="I87" s="9" t="s">
        <v>426</v>
      </c>
      <c r="J87" s="9" t="s">
        <v>427</v>
      </c>
      <c r="K87" s="9" t="s">
        <v>413</v>
      </c>
      <c r="L87" s="9"/>
      <c r="M87" s="12" t="s">
        <v>113</v>
      </c>
      <c r="N87" s="12" t="s">
        <v>428</v>
      </c>
      <c r="O87" s="12" t="s">
        <v>429</v>
      </c>
      <c r="P87" s="12" t="s">
        <v>430</v>
      </c>
      <c r="Q87" s="12"/>
      <c r="R87" s="12" t="s">
        <v>431</v>
      </c>
      <c r="S87" s="12" t="s">
        <v>30</v>
      </c>
      <c r="T87" s="6" t="s">
        <v>432</v>
      </c>
      <c r="U87" s="6" t="s">
        <v>460</v>
      </c>
      <c r="V87" s="6" t="s">
        <v>434</v>
      </c>
    </row>
    <row r="88" spans="1:22" ht="22.5" customHeight="1" x14ac:dyDescent="0.25">
      <c r="A88" s="6" t="s">
        <v>461</v>
      </c>
      <c r="B88" s="6" t="s">
        <v>63</v>
      </c>
      <c r="C88" s="6" t="s">
        <v>423</v>
      </c>
      <c r="D88" s="6" t="s">
        <v>408</v>
      </c>
      <c r="E88" s="6" t="s">
        <v>65</v>
      </c>
      <c r="F88" s="6" t="s">
        <v>65</v>
      </c>
      <c r="G88" s="9" t="s">
        <v>462</v>
      </c>
      <c r="H88" s="9" t="s">
        <v>425</v>
      </c>
      <c r="I88" s="9" t="s">
        <v>426</v>
      </c>
      <c r="J88" s="9" t="s">
        <v>427</v>
      </c>
      <c r="K88" s="9" t="s">
        <v>413</v>
      </c>
      <c r="L88" s="9"/>
      <c r="M88" s="12" t="s">
        <v>113</v>
      </c>
      <c r="N88" s="12" t="s">
        <v>428</v>
      </c>
      <c r="O88" s="12" t="s">
        <v>429</v>
      </c>
      <c r="P88" s="12" t="s">
        <v>430</v>
      </c>
      <c r="Q88" s="12"/>
      <c r="R88" s="12" t="s">
        <v>431</v>
      </c>
      <c r="S88" s="12" t="s">
        <v>30</v>
      </c>
      <c r="T88" s="6" t="s">
        <v>432</v>
      </c>
      <c r="U88" s="6" t="s">
        <v>463</v>
      </c>
      <c r="V88" s="6" t="s">
        <v>434</v>
      </c>
    </row>
    <row r="89" spans="1:22" ht="22.5" customHeight="1" x14ac:dyDescent="0.25">
      <c r="A89" s="6" t="s">
        <v>464</v>
      </c>
      <c r="B89" s="6" t="s">
        <v>63</v>
      </c>
      <c r="C89" s="6" t="s">
        <v>407</v>
      </c>
      <c r="D89" s="6" t="s">
        <v>408</v>
      </c>
      <c r="E89" s="6" t="s">
        <v>65</v>
      </c>
      <c r="F89" s="6" t="s">
        <v>65</v>
      </c>
      <c r="G89" s="9" t="s">
        <v>465</v>
      </c>
      <c r="H89" s="9" t="s">
        <v>410</v>
      </c>
      <c r="I89" s="9" t="s">
        <v>411</v>
      </c>
      <c r="J89" s="9" t="s">
        <v>412</v>
      </c>
      <c r="K89" s="9" t="s">
        <v>413</v>
      </c>
      <c r="L89" s="9" t="s">
        <v>414</v>
      </c>
      <c r="M89" s="12" t="s">
        <v>71</v>
      </c>
      <c r="N89" s="12" t="s">
        <v>415</v>
      </c>
      <c r="O89" s="12" t="s">
        <v>416</v>
      </c>
      <c r="P89" s="12" t="s">
        <v>417</v>
      </c>
      <c r="Q89" s="12"/>
      <c r="R89" s="12" t="s">
        <v>418</v>
      </c>
      <c r="S89" s="12" t="s">
        <v>30</v>
      </c>
      <c r="T89" s="6" t="s">
        <v>447</v>
      </c>
      <c r="U89" s="6" t="s">
        <v>466</v>
      </c>
      <c r="V89" s="6" t="s">
        <v>421</v>
      </c>
    </row>
    <row r="90" spans="1:22" ht="22.5" customHeight="1" x14ac:dyDescent="0.25">
      <c r="A90" s="6" t="s">
        <v>467</v>
      </c>
      <c r="B90" s="6" t="s">
        <v>63</v>
      </c>
      <c r="C90" s="6" t="s">
        <v>407</v>
      </c>
      <c r="D90" s="6" t="s">
        <v>408</v>
      </c>
      <c r="E90" s="6" t="s">
        <v>65</v>
      </c>
      <c r="F90" s="6" t="s">
        <v>65</v>
      </c>
      <c r="G90" s="9" t="s">
        <v>468</v>
      </c>
      <c r="H90" s="9" t="s">
        <v>410</v>
      </c>
      <c r="I90" s="9" t="s">
        <v>411</v>
      </c>
      <c r="J90" s="9" t="s">
        <v>412</v>
      </c>
      <c r="K90" s="9" t="s">
        <v>413</v>
      </c>
      <c r="L90" s="9" t="s">
        <v>414</v>
      </c>
      <c r="M90" s="12" t="s">
        <v>71</v>
      </c>
      <c r="N90" s="12" t="s">
        <v>415</v>
      </c>
      <c r="O90" s="12" t="s">
        <v>416</v>
      </c>
      <c r="P90" s="12" t="s">
        <v>417</v>
      </c>
      <c r="Q90" s="12"/>
      <c r="R90" s="12" t="s">
        <v>418</v>
      </c>
      <c r="S90" s="12" t="s">
        <v>30</v>
      </c>
      <c r="T90" s="6" t="s">
        <v>419</v>
      </c>
      <c r="U90" s="6" t="s">
        <v>469</v>
      </c>
      <c r="V90" s="6" t="s">
        <v>421</v>
      </c>
    </row>
    <row r="91" spans="1:22" ht="22.5" customHeight="1" x14ac:dyDescent="0.25">
      <c r="A91" s="6" t="s">
        <v>470</v>
      </c>
      <c r="B91" s="6" t="s">
        <v>63</v>
      </c>
      <c r="C91" s="6" t="s">
        <v>423</v>
      </c>
      <c r="D91" s="6" t="s">
        <v>408</v>
      </c>
      <c r="E91" s="6" t="s">
        <v>65</v>
      </c>
      <c r="F91" s="6" t="s">
        <v>65</v>
      </c>
      <c r="G91" s="9" t="s">
        <v>471</v>
      </c>
      <c r="H91" s="9" t="s">
        <v>425</v>
      </c>
      <c r="I91" s="9" t="s">
        <v>426</v>
      </c>
      <c r="J91" s="9" t="s">
        <v>427</v>
      </c>
      <c r="K91" s="9" t="s">
        <v>413</v>
      </c>
      <c r="L91" s="9"/>
      <c r="M91" s="12" t="s">
        <v>113</v>
      </c>
      <c r="N91" s="12" t="s">
        <v>428</v>
      </c>
      <c r="O91" s="12" t="s">
        <v>429</v>
      </c>
      <c r="P91" s="12" t="s">
        <v>430</v>
      </c>
      <c r="Q91" s="12"/>
      <c r="R91" s="12" t="s">
        <v>431</v>
      </c>
      <c r="S91" s="12" t="s">
        <v>30</v>
      </c>
      <c r="T91" s="6" t="s">
        <v>432</v>
      </c>
      <c r="U91" s="6" t="s">
        <v>472</v>
      </c>
      <c r="V91" s="6" t="s">
        <v>434</v>
      </c>
    </row>
    <row r="92" spans="1:22" ht="22.5" customHeight="1" x14ac:dyDescent="0.25">
      <c r="A92" s="6" t="s">
        <v>473</v>
      </c>
      <c r="B92" s="6" t="s">
        <v>63</v>
      </c>
      <c r="C92" s="6" t="s">
        <v>407</v>
      </c>
      <c r="D92" s="6" t="s">
        <v>408</v>
      </c>
      <c r="E92" s="6" t="s">
        <v>65</v>
      </c>
      <c r="F92" s="6" t="s">
        <v>65</v>
      </c>
      <c r="G92" s="9" t="s">
        <v>474</v>
      </c>
      <c r="H92" s="9" t="s">
        <v>410</v>
      </c>
      <c r="I92" s="9" t="s">
        <v>411</v>
      </c>
      <c r="J92" s="9" t="s">
        <v>412</v>
      </c>
      <c r="K92" s="9" t="s">
        <v>413</v>
      </c>
      <c r="L92" s="9" t="s">
        <v>414</v>
      </c>
      <c r="M92" s="12" t="s">
        <v>71</v>
      </c>
      <c r="N92" s="12" t="s">
        <v>415</v>
      </c>
      <c r="O92" s="12" t="s">
        <v>416</v>
      </c>
      <c r="P92" s="12" t="s">
        <v>417</v>
      </c>
      <c r="Q92" s="12"/>
      <c r="R92" s="12" t="s">
        <v>418</v>
      </c>
      <c r="S92" s="12" t="s">
        <v>30</v>
      </c>
      <c r="T92" s="6" t="s">
        <v>419</v>
      </c>
      <c r="U92" s="6" t="s">
        <v>475</v>
      </c>
      <c r="V92" s="6" t="s">
        <v>421</v>
      </c>
    </row>
    <row r="93" spans="1:22" ht="22.5" customHeight="1" x14ac:dyDescent="0.25">
      <c r="A93" s="6" t="s">
        <v>476</v>
      </c>
      <c r="B93" s="6" t="s">
        <v>63</v>
      </c>
      <c r="C93" s="6" t="s">
        <v>423</v>
      </c>
      <c r="D93" s="6" t="s">
        <v>408</v>
      </c>
      <c r="E93" s="6" t="s">
        <v>65</v>
      </c>
      <c r="F93" s="6" t="s">
        <v>439</v>
      </c>
      <c r="G93" s="9" t="s">
        <v>477</v>
      </c>
      <c r="H93" s="9" t="s">
        <v>425</v>
      </c>
      <c r="I93" s="9" t="s">
        <v>426</v>
      </c>
      <c r="J93" s="9" t="s">
        <v>427</v>
      </c>
      <c r="K93" s="9" t="s">
        <v>413</v>
      </c>
      <c r="L93" s="9"/>
      <c r="M93" s="12" t="s">
        <v>113</v>
      </c>
      <c r="N93" s="12" t="s">
        <v>428</v>
      </c>
      <c r="O93" s="12" t="s">
        <v>429</v>
      </c>
      <c r="P93" s="12" t="s">
        <v>430</v>
      </c>
      <c r="Q93" s="12"/>
      <c r="R93" s="12" t="s">
        <v>431</v>
      </c>
      <c r="S93" s="12" t="s">
        <v>30</v>
      </c>
      <c r="T93" s="6" t="s">
        <v>432</v>
      </c>
      <c r="U93" s="6" t="s">
        <v>478</v>
      </c>
      <c r="V93" s="6" t="s">
        <v>434</v>
      </c>
    </row>
    <row r="94" spans="1:22" ht="22.5" customHeight="1" x14ac:dyDescent="0.25">
      <c r="A94" s="6" t="s">
        <v>479</v>
      </c>
      <c r="B94" s="6" t="s">
        <v>63</v>
      </c>
      <c r="C94" s="6" t="s">
        <v>423</v>
      </c>
      <c r="D94" s="6" t="s">
        <v>408</v>
      </c>
      <c r="E94" s="6" t="s">
        <v>65</v>
      </c>
      <c r="F94" s="6" t="s">
        <v>439</v>
      </c>
      <c r="G94" s="9" t="s">
        <v>480</v>
      </c>
      <c r="H94" s="9" t="s">
        <v>425</v>
      </c>
      <c r="I94" s="9" t="s">
        <v>426</v>
      </c>
      <c r="J94" s="9" t="s">
        <v>427</v>
      </c>
      <c r="K94" s="9" t="s">
        <v>413</v>
      </c>
      <c r="L94" s="9"/>
      <c r="M94" s="12" t="s">
        <v>113</v>
      </c>
      <c r="N94" s="12" t="s">
        <v>428</v>
      </c>
      <c r="O94" s="12" t="s">
        <v>429</v>
      </c>
      <c r="P94" s="12" t="s">
        <v>430</v>
      </c>
      <c r="Q94" s="12"/>
      <c r="R94" s="12" t="s">
        <v>431</v>
      </c>
      <c r="S94" s="12" t="s">
        <v>30</v>
      </c>
      <c r="T94" s="6" t="s">
        <v>432</v>
      </c>
      <c r="U94" s="6" t="s">
        <v>481</v>
      </c>
      <c r="V94" s="6" t="s">
        <v>434</v>
      </c>
    </row>
    <row r="95" spans="1:22" ht="22.5" customHeight="1" x14ac:dyDescent="0.25">
      <c r="A95" s="6" t="s">
        <v>482</v>
      </c>
      <c r="B95" s="6" t="s">
        <v>63</v>
      </c>
      <c r="C95" s="6" t="s">
        <v>407</v>
      </c>
      <c r="D95" s="6" t="s">
        <v>483</v>
      </c>
      <c r="E95" s="6" t="s">
        <v>65</v>
      </c>
      <c r="F95" s="6" t="s">
        <v>65</v>
      </c>
      <c r="G95" s="9" t="s">
        <v>484</v>
      </c>
      <c r="H95" s="9" t="s">
        <v>410</v>
      </c>
      <c r="I95" s="9" t="s">
        <v>411</v>
      </c>
      <c r="J95" s="9" t="s">
        <v>412</v>
      </c>
      <c r="K95" s="9" t="s">
        <v>413</v>
      </c>
      <c r="L95" s="9" t="s">
        <v>414</v>
      </c>
      <c r="M95" s="12" t="s">
        <v>145</v>
      </c>
      <c r="N95" s="12" t="s">
        <v>1620</v>
      </c>
      <c r="O95" s="12" t="s">
        <v>1621</v>
      </c>
      <c r="P95" s="12" t="s">
        <v>1622</v>
      </c>
      <c r="Q95" s="12"/>
      <c r="R95" s="12" t="s">
        <v>1623</v>
      </c>
      <c r="S95" s="12" t="s">
        <v>32</v>
      </c>
      <c r="T95" s="6" t="s">
        <v>419</v>
      </c>
      <c r="U95" s="6" t="s">
        <v>485</v>
      </c>
      <c r="V95" s="6" t="s">
        <v>1624</v>
      </c>
    </row>
    <row r="96" spans="1:22" ht="22.5" customHeight="1" x14ac:dyDescent="0.25">
      <c r="A96" s="6" t="s">
        <v>486</v>
      </c>
      <c r="B96" s="6" t="s">
        <v>63</v>
      </c>
      <c r="C96" s="6" t="s">
        <v>423</v>
      </c>
      <c r="D96" s="6" t="s">
        <v>483</v>
      </c>
      <c r="E96" s="6" t="s">
        <v>65</v>
      </c>
      <c r="F96" s="6" t="s">
        <v>65</v>
      </c>
      <c r="G96" s="9" t="s">
        <v>487</v>
      </c>
      <c r="H96" s="9" t="s">
        <v>425</v>
      </c>
      <c r="I96" s="9" t="s">
        <v>426</v>
      </c>
      <c r="J96" s="9" t="s">
        <v>427</v>
      </c>
      <c r="K96" s="9" t="s">
        <v>413</v>
      </c>
      <c r="L96" s="9"/>
      <c r="M96" s="12" t="s">
        <v>145</v>
      </c>
      <c r="N96" s="12" t="s">
        <v>1625</v>
      </c>
      <c r="O96" s="12" t="s">
        <v>1626</v>
      </c>
      <c r="P96" s="12" t="s">
        <v>1627</v>
      </c>
      <c r="Q96" s="12"/>
      <c r="R96" s="12" t="s">
        <v>1628</v>
      </c>
      <c r="S96" s="12" t="s">
        <v>32</v>
      </c>
      <c r="T96" s="6" t="s">
        <v>432</v>
      </c>
      <c r="U96" s="6" t="s">
        <v>488</v>
      </c>
      <c r="V96" s="6" t="s">
        <v>1629</v>
      </c>
    </row>
    <row r="97" spans="1:22" ht="22.5" customHeight="1" x14ac:dyDescent="0.25">
      <c r="A97" s="6" t="s">
        <v>489</v>
      </c>
      <c r="B97" s="6" t="s">
        <v>63</v>
      </c>
      <c r="C97" s="6" t="s">
        <v>423</v>
      </c>
      <c r="D97" s="6" t="s">
        <v>483</v>
      </c>
      <c r="E97" s="6" t="s">
        <v>65</v>
      </c>
      <c r="F97" s="6" t="s">
        <v>65</v>
      </c>
      <c r="G97" s="9" t="s">
        <v>490</v>
      </c>
      <c r="H97" s="9" t="s">
        <v>425</v>
      </c>
      <c r="I97" s="9" t="s">
        <v>426</v>
      </c>
      <c r="J97" s="9" t="s">
        <v>427</v>
      </c>
      <c r="K97" s="9" t="s">
        <v>413</v>
      </c>
      <c r="L97" s="9"/>
      <c r="M97" s="12" t="s">
        <v>145</v>
      </c>
      <c r="N97" s="12" t="s">
        <v>1625</v>
      </c>
      <c r="O97" s="12" t="s">
        <v>1626</v>
      </c>
      <c r="P97" s="12" t="s">
        <v>1627</v>
      </c>
      <c r="Q97" s="12"/>
      <c r="R97" s="12" t="s">
        <v>1628</v>
      </c>
      <c r="S97" s="12" t="s">
        <v>32</v>
      </c>
      <c r="T97" s="6" t="s">
        <v>432</v>
      </c>
      <c r="U97" s="6" t="s">
        <v>491</v>
      </c>
      <c r="V97" s="6" t="s">
        <v>1629</v>
      </c>
    </row>
    <row r="98" spans="1:22" ht="22.5" customHeight="1" x14ac:dyDescent="0.25">
      <c r="A98" s="6" t="s">
        <v>492</v>
      </c>
      <c r="B98" s="6" t="s">
        <v>63</v>
      </c>
      <c r="C98" s="6" t="s">
        <v>423</v>
      </c>
      <c r="D98" s="6" t="s">
        <v>483</v>
      </c>
      <c r="E98" s="6" t="s">
        <v>65</v>
      </c>
      <c r="F98" s="6" t="s">
        <v>65</v>
      </c>
      <c r="G98" s="9" t="s">
        <v>493</v>
      </c>
      <c r="H98" s="9" t="s">
        <v>425</v>
      </c>
      <c r="I98" s="9" t="s">
        <v>426</v>
      </c>
      <c r="J98" s="9" t="s">
        <v>427</v>
      </c>
      <c r="K98" s="9" t="s">
        <v>413</v>
      </c>
      <c r="L98" s="9"/>
      <c r="M98" s="12" t="s">
        <v>145</v>
      </c>
      <c r="N98" s="12" t="s">
        <v>1625</v>
      </c>
      <c r="O98" s="12" t="s">
        <v>1626</v>
      </c>
      <c r="P98" s="12" t="s">
        <v>1627</v>
      </c>
      <c r="Q98" s="12"/>
      <c r="R98" s="12" t="s">
        <v>1628</v>
      </c>
      <c r="S98" s="12" t="s">
        <v>32</v>
      </c>
      <c r="T98" s="6" t="s">
        <v>432</v>
      </c>
      <c r="U98" s="6" t="s">
        <v>494</v>
      </c>
      <c r="V98" s="6" t="s">
        <v>1629</v>
      </c>
    </row>
    <row r="99" spans="1:22" ht="22.5" customHeight="1" x14ac:dyDescent="0.25">
      <c r="A99" s="6" t="s">
        <v>495</v>
      </c>
      <c r="B99" s="6" t="s">
        <v>63</v>
      </c>
      <c r="C99" s="6" t="s">
        <v>407</v>
      </c>
      <c r="D99" s="6" t="s">
        <v>483</v>
      </c>
      <c r="E99" s="6" t="s">
        <v>65</v>
      </c>
      <c r="F99" s="6" t="s">
        <v>65</v>
      </c>
      <c r="G99" s="9" t="s">
        <v>496</v>
      </c>
      <c r="H99" s="9" t="s">
        <v>410</v>
      </c>
      <c r="I99" s="9" t="s">
        <v>411</v>
      </c>
      <c r="J99" s="9" t="s">
        <v>412</v>
      </c>
      <c r="K99" s="9" t="s">
        <v>413</v>
      </c>
      <c r="L99" s="9" t="s">
        <v>414</v>
      </c>
      <c r="M99" s="12" t="s">
        <v>145</v>
      </c>
      <c r="N99" s="12" t="s">
        <v>1620</v>
      </c>
      <c r="O99" s="12" t="s">
        <v>1621</v>
      </c>
      <c r="P99" s="12" t="s">
        <v>1622</v>
      </c>
      <c r="Q99" s="12"/>
      <c r="R99" s="12" t="s">
        <v>1623</v>
      </c>
      <c r="S99" s="12" t="s">
        <v>32</v>
      </c>
      <c r="T99" s="6" t="s">
        <v>419</v>
      </c>
      <c r="U99" s="6" t="s">
        <v>497</v>
      </c>
      <c r="V99" s="6" t="s">
        <v>1624</v>
      </c>
    </row>
    <row r="100" spans="1:22" ht="22.5" customHeight="1" x14ac:dyDescent="0.25">
      <c r="A100" s="6" t="s">
        <v>498</v>
      </c>
      <c r="B100" s="6" t="s">
        <v>63</v>
      </c>
      <c r="C100" s="6" t="s">
        <v>423</v>
      </c>
      <c r="D100" s="6" t="s">
        <v>483</v>
      </c>
      <c r="E100" s="6" t="s">
        <v>65</v>
      </c>
      <c r="F100" s="6" t="s">
        <v>65</v>
      </c>
      <c r="G100" s="9" t="s">
        <v>499</v>
      </c>
      <c r="H100" s="9" t="s">
        <v>425</v>
      </c>
      <c r="I100" s="9" t="s">
        <v>426</v>
      </c>
      <c r="J100" s="9" t="s">
        <v>427</v>
      </c>
      <c r="K100" s="9" t="s">
        <v>413</v>
      </c>
      <c r="L100" s="9"/>
      <c r="M100" s="12" t="s">
        <v>145</v>
      </c>
      <c r="N100" s="12" t="s">
        <v>1625</v>
      </c>
      <c r="O100" s="12" t="s">
        <v>1626</v>
      </c>
      <c r="P100" s="12" t="s">
        <v>1627</v>
      </c>
      <c r="Q100" s="12"/>
      <c r="R100" s="12" t="s">
        <v>1628</v>
      </c>
      <c r="S100" s="12" t="s">
        <v>32</v>
      </c>
      <c r="T100" s="6" t="s">
        <v>432</v>
      </c>
      <c r="U100" s="6" t="s">
        <v>500</v>
      </c>
      <c r="V100" s="6" t="s">
        <v>1629</v>
      </c>
    </row>
    <row r="101" spans="1:22" ht="22.5" customHeight="1" x14ac:dyDescent="0.25">
      <c r="A101" s="6" t="s">
        <v>501</v>
      </c>
      <c r="B101" s="6" t="s">
        <v>63</v>
      </c>
      <c r="C101" s="6" t="s">
        <v>423</v>
      </c>
      <c r="D101" s="6" t="s">
        <v>483</v>
      </c>
      <c r="E101" s="6" t="s">
        <v>65</v>
      </c>
      <c r="F101" s="6" t="s">
        <v>65</v>
      </c>
      <c r="G101" s="9" t="s">
        <v>502</v>
      </c>
      <c r="H101" s="9" t="s">
        <v>425</v>
      </c>
      <c r="I101" s="9" t="s">
        <v>426</v>
      </c>
      <c r="J101" s="9" t="s">
        <v>427</v>
      </c>
      <c r="K101" s="9" t="s">
        <v>413</v>
      </c>
      <c r="L101" s="9"/>
      <c r="M101" s="12" t="s">
        <v>145</v>
      </c>
      <c r="N101" s="12" t="s">
        <v>1625</v>
      </c>
      <c r="O101" s="12" t="s">
        <v>1626</v>
      </c>
      <c r="P101" s="12" t="s">
        <v>1627</v>
      </c>
      <c r="Q101" s="12"/>
      <c r="R101" s="12" t="s">
        <v>1628</v>
      </c>
      <c r="S101" s="12" t="s">
        <v>32</v>
      </c>
      <c r="T101" s="6" t="s">
        <v>432</v>
      </c>
      <c r="U101" s="6" t="s">
        <v>503</v>
      </c>
      <c r="V101" s="6" t="s">
        <v>1629</v>
      </c>
    </row>
    <row r="102" spans="1:22" ht="22.5" customHeight="1" x14ac:dyDescent="0.25">
      <c r="A102" s="6" t="s">
        <v>504</v>
      </c>
      <c r="B102" s="6" t="s">
        <v>63</v>
      </c>
      <c r="C102" s="6" t="s">
        <v>423</v>
      </c>
      <c r="D102" s="6" t="s">
        <v>483</v>
      </c>
      <c r="E102" s="6" t="s">
        <v>65</v>
      </c>
      <c r="F102" s="6" t="s">
        <v>439</v>
      </c>
      <c r="G102" s="9" t="s">
        <v>505</v>
      </c>
      <c r="H102" s="9" t="s">
        <v>425</v>
      </c>
      <c r="I102" s="9" t="s">
        <v>426</v>
      </c>
      <c r="J102" s="9" t="s">
        <v>427</v>
      </c>
      <c r="K102" s="9" t="s">
        <v>413</v>
      </c>
      <c r="L102" s="9"/>
      <c r="M102" s="12" t="s">
        <v>145</v>
      </c>
      <c r="N102" s="12" t="s">
        <v>1625</v>
      </c>
      <c r="O102" s="12" t="s">
        <v>1626</v>
      </c>
      <c r="P102" s="12" t="s">
        <v>1627</v>
      </c>
      <c r="Q102" s="12"/>
      <c r="R102" s="12" t="s">
        <v>1628</v>
      </c>
      <c r="S102" s="12" t="s">
        <v>32</v>
      </c>
      <c r="T102" s="6" t="s">
        <v>432</v>
      </c>
      <c r="U102" s="6" t="s">
        <v>506</v>
      </c>
      <c r="V102" s="6" t="s">
        <v>1629</v>
      </c>
    </row>
    <row r="103" spans="1:22" ht="22.5" customHeight="1" x14ac:dyDescent="0.25">
      <c r="A103" s="6" t="s">
        <v>507</v>
      </c>
      <c r="B103" s="6" t="s">
        <v>63</v>
      </c>
      <c r="C103" s="6" t="s">
        <v>423</v>
      </c>
      <c r="D103" s="6" t="s">
        <v>483</v>
      </c>
      <c r="E103" s="6" t="s">
        <v>65</v>
      </c>
      <c r="F103" s="6" t="s">
        <v>65</v>
      </c>
      <c r="G103" s="9" t="s">
        <v>508</v>
      </c>
      <c r="H103" s="9" t="s">
        <v>425</v>
      </c>
      <c r="I103" s="9" t="s">
        <v>426</v>
      </c>
      <c r="J103" s="9" t="s">
        <v>427</v>
      </c>
      <c r="K103" s="9" t="s">
        <v>413</v>
      </c>
      <c r="L103" s="9"/>
      <c r="M103" s="12" t="s">
        <v>145</v>
      </c>
      <c r="N103" s="12" t="s">
        <v>1625</v>
      </c>
      <c r="O103" s="12" t="s">
        <v>1626</v>
      </c>
      <c r="P103" s="12" t="s">
        <v>1627</v>
      </c>
      <c r="Q103" s="12"/>
      <c r="R103" s="12" t="s">
        <v>1628</v>
      </c>
      <c r="S103" s="12" t="s">
        <v>32</v>
      </c>
      <c r="T103" s="6" t="s">
        <v>432</v>
      </c>
      <c r="U103" s="6" t="s">
        <v>509</v>
      </c>
      <c r="V103" s="6" t="s">
        <v>1629</v>
      </c>
    </row>
    <row r="104" spans="1:22" ht="22.5" customHeight="1" x14ac:dyDescent="0.25">
      <c r="A104" s="6" t="s">
        <v>510</v>
      </c>
      <c r="B104" s="6" t="s">
        <v>63</v>
      </c>
      <c r="C104" s="6" t="s">
        <v>423</v>
      </c>
      <c r="D104" s="6" t="s">
        <v>483</v>
      </c>
      <c r="E104" s="6" t="s">
        <v>65</v>
      </c>
      <c r="F104" s="6" t="s">
        <v>65</v>
      </c>
      <c r="G104" s="9" t="s">
        <v>511</v>
      </c>
      <c r="H104" s="9" t="s">
        <v>425</v>
      </c>
      <c r="I104" s="9" t="s">
        <v>426</v>
      </c>
      <c r="J104" s="9" t="s">
        <v>427</v>
      </c>
      <c r="K104" s="9" t="s">
        <v>413</v>
      </c>
      <c r="L104" s="9"/>
      <c r="M104" s="12" t="s">
        <v>145</v>
      </c>
      <c r="N104" s="12" t="s">
        <v>1625</v>
      </c>
      <c r="O104" s="12" t="s">
        <v>1626</v>
      </c>
      <c r="P104" s="12" t="s">
        <v>1627</v>
      </c>
      <c r="Q104" s="12"/>
      <c r="R104" s="12" t="s">
        <v>1628</v>
      </c>
      <c r="S104" s="12" t="s">
        <v>32</v>
      </c>
      <c r="T104" s="6" t="s">
        <v>432</v>
      </c>
      <c r="U104" s="6" t="s">
        <v>512</v>
      </c>
      <c r="V104" s="6" t="s">
        <v>1629</v>
      </c>
    </row>
    <row r="105" spans="1:22" ht="22.5" customHeight="1" x14ac:dyDescent="0.25">
      <c r="A105" s="6" t="s">
        <v>513</v>
      </c>
      <c r="B105" s="6" t="s">
        <v>63</v>
      </c>
      <c r="C105" s="6" t="s">
        <v>423</v>
      </c>
      <c r="D105" s="6" t="s">
        <v>483</v>
      </c>
      <c r="E105" s="6" t="s">
        <v>65</v>
      </c>
      <c r="F105" s="6" t="s">
        <v>65</v>
      </c>
      <c r="G105" s="9" t="s">
        <v>514</v>
      </c>
      <c r="H105" s="9" t="s">
        <v>425</v>
      </c>
      <c r="I105" s="9" t="s">
        <v>426</v>
      </c>
      <c r="J105" s="9" t="s">
        <v>427</v>
      </c>
      <c r="K105" s="9" t="s">
        <v>413</v>
      </c>
      <c r="L105" s="9"/>
      <c r="M105" s="12" t="s">
        <v>145</v>
      </c>
      <c r="N105" s="12" t="s">
        <v>1625</v>
      </c>
      <c r="O105" s="12" t="s">
        <v>1626</v>
      </c>
      <c r="P105" s="12" t="s">
        <v>1627</v>
      </c>
      <c r="Q105" s="12"/>
      <c r="R105" s="12" t="s">
        <v>1628</v>
      </c>
      <c r="S105" s="12" t="s">
        <v>32</v>
      </c>
      <c r="T105" s="6" t="s">
        <v>432</v>
      </c>
      <c r="U105" s="6" t="s">
        <v>515</v>
      </c>
      <c r="V105" s="6" t="s">
        <v>1629</v>
      </c>
    </row>
    <row r="106" spans="1:22" ht="22.5" customHeight="1" x14ac:dyDescent="0.25">
      <c r="A106" s="6" t="s">
        <v>516</v>
      </c>
      <c r="B106" s="6" t="s">
        <v>63</v>
      </c>
      <c r="C106" s="6" t="s">
        <v>423</v>
      </c>
      <c r="D106" s="6" t="s">
        <v>483</v>
      </c>
      <c r="E106" s="6" t="s">
        <v>65</v>
      </c>
      <c r="F106" s="6" t="s">
        <v>65</v>
      </c>
      <c r="G106" s="9" t="s">
        <v>517</v>
      </c>
      <c r="H106" s="9" t="s">
        <v>425</v>
      </c>
      <c r="I106" s="9" t="s">
        <v>426</v>
      </c>
      <c r="J106" s="9" t="s">
        <v>427</v>
      </c>
      <c r="K106" s="9" t="s">
        <v>413</v>
      </c>
      <c r="L106" s="9"/>
      <c r="M106" s="12" t="s">
        <v>145</v>
      </c>
      <c r="N106" s="12" t="s">
        <v>1625</v>
      </c>
      <c r="O106" s="12" t="s">
        <v>1626</v>
      </c>
      <c r="P106" s="12" t="s">
        <v>1627</v>
      </c>
      <c r="Q106" s="12"/>
      <c r="R106" s="12" t="s">
        <v>1628</v>
      </c>
      <c r="S106" s="12" t="s">
        <v>32</v>
      </c>
      <c r="T106" s="6" t="s">
        <v>432</v>
      </c>
      <c r="U106" s="6" t="s">
        <v>518</v>
      </c>
      <c r="V106" s="6" t="s">
        <v>1629</v>
      </c>
    </row>
    <row r="107" spans="1:22" ht="22.5" customHeight="1" x14ac:dyDescent="0.25">
      <c r="A107" s="6" t="s">
        <v>519</v>
      </c>
      <c r="B107" s="6" t="s">
        <v>63</v>
      </c>
      <c r="C107" s="6" t="s">
        <v>423</v>
      </c>
      <c r="D107" s="6" t="s">
        <v>483</v>
      </c>
      <c r="E107" s="6" t="s">
        <v>65</v>
      </c>
      <c r="F107" s="6" t="s">
        <v>65</v>
      </c>
      <c r="G107" s="9" t="s">
        <v>520</v>
      </c>
      <c r="H107" s="9" t="s">
        <v>425</v>
      </c>
      <c r="I107" s="9" t="s">
        <v>426</v>
      </c>
      <c r="J107" s="9" t="s">
        <v>427</v>
      </c>
      <c r="K107" s="9" t="s">
        <v>413</v>
      </c>
      <c r="L107" s="9"/>
      <c r="M107" s="12" t="s">
        <v>145</v>
      </c>
      <c r="N107" s="12" t="s">
        <v>1625</v>
      </c>
      <c r="O107" s="12" t="s">
        <v>1626</v>
      </c>
      <c r="P107" s="12" t="s">
        <v>1627</v>
      </c>
      <c r="Q107" s="12"/>
      <c r="R107" s="12" t="s">
        <v>1628</v>
      </c>
      <c r="S107" s="12" t="s">
        <v>32</v>
      </c>
      <c r="T107" s="6" t="s">
        <v>432</v>
      </c>
      <c r="U107" s="6" t="s">
        <v>521</v>
      </c>
      <c r="V107" s="6" t="s">
        <v>1629</v>
      </c>
    </row>
    <row r="108" spans="1:22" ht="22.5" customHeight="1" x14ac:dyDescent="0.25">
      <c r="A108" s="6" t="s">
        <v>522</v>
      </c>
      <c r="B108" s="6" t="s">
        <v>63</v>
      </c>
      <c r="C108" s="6" t="s">
        <v>423</v>
      </c>
      <c r="D108" s="6" t="s">
        <v>483</v>
      </c>
      <c r="E108" s="6" t="s">
        <v>65</v>
      </c>
      <c r="F108" s="6" t="s">
        <v>65</v>
      </c>
      <c r="G108" s="9" t="s">
        <v>523</v>
      </c>
      <c r="H108" s="9" t="s">
        <v>425</v>
      </c>
      <c r="I108" s="9" t="s">
        <v>426</v>
      </c>
      <c r="J108" s="9" t="s">
        <v>427</v>
      </c>
      <c r="K108" s="9" t="s">
        <v>413</v>
      </c>
      <c r="L108" s="9"/>
      <c r="M108" s="12" t="s">
        <v>145</v>
      </c>
      <c r="N108" s="12" t="s">
        <v>1625</v>
      </c>
      <c r="O108" s="12" t="s">
        <v>1626</v>
      </c>
      <c r="P108" s="12" t="s">
        <v>1627</v>
      </c>
      <c r="Q108" s="12"/>
      <c r="R108" s="12" t="s">
        <v>1628</v>
      </c>
      <c r="S108" s="12" t="s">
        <v>32</v>
      </c>
      <c r="T108" s="6" t="s">
        <v>432</v>
      </c>
      <c r="U108" s="6" t="s">
        <v>524</v>
      </c>
      <c r="V108" s="6" t="s">
        <v>1629</v>
      </c>
    </row>
    <row r="109" spans="1:22" ht="22.5" customHeight="1" x14ac:dyDescent="0.25">
      <c r="A109" s="6" t="s">
        <v>525</v>
      </c>
      <c r="B109" s="6" t="s">
        <v>63</v>
      </c>
      <c r="C109" s="6" t="s">
        <v>407</v>
      </c>
      <c r="D109" s="6" t="s">
        <v>483</v>
      </c>
      <c r="E109" s="6" t="s">
        <v>65</v>
      </c>
      <c r="F109" s="6" t="s">
        <v>65</v>
      </c>
      <c r="G109" s="9" t="s">
        <v>526</v>
      </c>
      <c r="H109" s="9" t="s">
        <v>410</v>
      </c>
      <c r="I109" s="9" t="s">
        <v>411</v>
      </c>
      <c r="J109" s="9" t="s">
        <v>412</v>
      </c>
      <c r="K109" s="9" t="s">
        <v>413</v>
      </c>
      <c r="L109" s="9" t="s">
        <v>414</v>
      </c>
      <c r="M109" s="12" t="s">
        <v>145</v>
      </c>
      <c r="N109" s="12" t="s">
        <v>1620</v>
      </c>
      <c r="O109" s="12" t="s">
        <v>1621</v>
      </c>
      <c r="P109" s="12" t="s">
        <v>1622</v>
      </c>
      <c r="Q109" s="12"/>
      <c r="R109" s="12" t="s">
        <v>1623</v>
      </c>
      <c r="S109" s="12" t="s">
        <v>32</v>
      </c>
      <c r="T109" s="6" t="s">
        <v>419</v>
      </c>
      <c r="U109" s="6" t="s">
        <v>527</v>
      </c>
      <c r="V109" s="6" t="s">
        <v>1624</v>
      </c>
    </row>
    <row r="110" spans="1:22" ht="22.5" customHeight="1" x14ac:dyDescent="0.25">
      <c r="A110" s="6" t="s">
        <v>528</v>
      </c>
      <c r="B110" s="6" t="s">
        <v>63</v>
      </c>
      <c r="C110" s="6" t="s">
        <v>423</v>
      </c>
      <c r="D110" s="6" t="s">
        <v>483</v>
      </c>
      <c r="E110" s="6" t="s">
        <v>65</v>
      </c>
      <c r="F110" s="6" t="s">
        <v>65</v>
      </c>
      <c r="G110" s="9" t="s">
        <v>529</v>
      </c>
      <c r="H110" s="9" t="s">
        <v>425</v>
      </c>
      <c r="I110" s="9" t="s">
        <v>426</v>
      </c>
      <c r="J110" s="9" t="s">
        <v>427</v>
      </c>
      <c r="K110" s="9" t="s">
        <v>413</v>
      </c>
      <c r="L110" s="9"/>
      <c r="M110" s="12" t="s">
        <v>145</v>
      </c>
      <c r="N110" s="12" t="s">
        <v>1625</v>
      </c>
      <c r="O110" s="12" t="s">
        <v>1626</v>
      </c>
      <c r="P110" s="12" t="s">
        <v>1627</v>
      </c>
      <c r="Q110" s="12"/>
      <c r="R110" s="12" t="s">
        <v>1628</v>
      </c>
      <c r="S110" s="12" t="s">
        <v>32</v>
      </c>
      <c r="T110" s="6" t="s">
        <v>432</v>
      </c>
      <c r="U110" s="6" t="s">
        <v>530</v>
      </c>
      <c r="V110" s="6" t="s">
        <v>1629</v>
      </c>
    </row>
    <row r="111" spans="1:22" ht="22.5" customHeight="1" x14ac:dyDescent="0.25">
      <c r="A111" s="6" t="s">
        <v>531</v>
      </c>
      <c r="B111" s="6" t="s">
        <v>63</v>
      </c>
      <c r="C111" s="6" t="s">
        <v>423</v>
      </c>
      <c r="D111" s="6" t="s">
        <v>483</v>
      </c>
      <c r="E111" s="6" t="s">
        <v>65</v>
      </c>
      <c r="F111" s="6" t="s">
        <v>65</v>
      </c>
      <c r="G111" s="9" t="s">
        <v>532</v>
      </c>
      <c r="H111" s="9" t="s">
        <v>425</v>
      </c>
      <c r="I111" s="9" t="s">
        <v>426</v>
      </c>
      <c r="J111" s="9" t="s">
        <v>427</v>
      </c>
      <c r="K111" s="9" t="s">
        <v>413</v>
      </c>
      <c r="L111" s="9"/>
      <c r="M111" s="12" t="s">
        <v>145</v>
      </c>
      <c r="N111" s="12" t="s">
        <v>1625</v>
      </c>
      <c r="O111" s="12" t="s">
        <v>1626</v>
      </c>
      <c r="P111" s="12" t="s">
        <v>1627</v>
      </c>
      <c r="Q111" s="12"/>
      <c r="R111" s="12" t="s">
        <v>1628</v>
      </c>
      <c r="S111" s="12" t="s">
        <v>32</v>
      </c>
      <c r="T111" s="6" t="s">
        <v>432</v>
      </c>
      <c r="U111" s="6" t="s">
        <v>533</v>
      </c>
      <c r="V111" s="6" t="s">
        <v>1629</v>
      </c>
    </row>
    <row r="112" spans="1:22" ht="22.5" customHeight="1" x14ac:dyDescent="0.25">
      <c r="A112" s="6" t="s">
        <v>534</v>
      </c>
      <c r="B112" s="6" t="s">
        <v>63</v>
      </c>
      <c r="C112" s="6" t="s">
        <v>407</v>
      </c>
      <c r="D112" s="6" t="s">
        <v>483</v>
      </c>
      <c r="E112" s="6" t="s">
        <v>65</v>
      </c>
      <c r="F112" s="6" t="s">
        <v>65</v>
      </c>
      <c r="G112" s="9" t="s">
        <v>535</v>
      </c>
      <c r="H112" s="9" t="s">
        <v>410</v>
      </c>
      <c r="I112" s="9" t="s">
        <v>411</v>
      </c>
      <c r="J112" s="9" t="s">
        <v>412</v>
      </c>
      <c r="K112" s="9" t="s">
        <v>413</v>
      </c>
      <c r="L112" s="9" t="s">
        <v>414</v>
      </c>
      <c r="M112" s="12" t="s">
        <v>145</v>
      </c>
      <c r="N112" s="12" t="s">
        <v>1620</v>
      </c>
      <c r="O112" s="12" t="s">
        <v>1621</v>
      </c>
      <c r="P112" s="12" t="s">
        <v>1622</v>
      </c>
      <c r="Q112" s="12"/>
      <c r="R112" s="12" t="s">
        <v>1623</v>
      </c>
      <c r="S112" s="12" t="s">
        <v>32</v>
      </c>
      <c r="T112" s="6" t="s">
        <v>419</v>
      </c>
      <c r="U112" s="6" t="s">
        <v>536</v>
      </c>
      <c r="V112" s="6" t="s">
        <v>1624</v>
      </c>
    </row>
    <row r="113" spans="1:22" ht="22.5" customHeight="1" x14ac:dyDescent="0.25">
      <c r="A113" s="6" t="s">
        <v>537</v>
      </c>
      <c r="B113" s="6" t="s">
        <v>63</v>
      </c>
      <c r="C113" s="6" t="s">
        <v>423</v>
      </c>
      <c r="D113" s="6" t="s">
        <v>483</v>
      </c>
      <c r="E113" s="6" t="s">
        <v>65</v>
      </c>
      <c r="F113" s="6" t="s">
        <v>65</v>
      </c>
      <c r="G113" s="9" t="s">
        <v>538</v>
      </c>
      <c r="H113" s="9" t="s">
        <v>425</v>
      </c>
      <c r="I113" s="9" t="s">
        <v>426</v>
      </c>
      <c r="J113" s="9" t="s">
        <v>427</v>
      </c>
      <c r="K113" s="9" t="s">
        <v>413</v>
      </c>
      <c r="L113" s="9"/>
      <c r="M113" s="12" t="s">
        <v>145</v>
      </c>
      <c r="N113" s="12" t="s">
        <v>1625</v>
      </c>
      <c r="O113" s="12" t="s">
        <v>1626</v>
      </c>
      <c r="P113" s="12" t="s">
        <v>1627</v>
      </c>
      <c r="Q113" s="12"/>
      <c r="R113" s="12" t="s">
        <v>1628</v>
      </c>
      <c r="S113" s="12" t="s">
        <v>32</v>
      </c>
      <c r="T113" s="6" t="s">
        <v>432</v>
      </c>
      <c r="U113" s="6" t="s">
        <v>539</v>
      </c>
      <c r="V113" s="6" t="s">
        <v>1629</v>
      </c>
    </row>
    <row r="114" spans="1:22" ht="22.5" customHeight="1" x14ac:dyDescent="0.25">
      <c r="A114" s="6" t="s">
        <v>540</v>
      </c>
      <c r="B114" s="6" t="s">
        <v>63</v>
      </c>
      <c r="C114" s="6" t="s">
        <v>423</v>
      </c>
      <c r="D114" s="6" t="s">
        <v>483</v>
      </c>
      <c r="E114" s="6" t="s">
        <v>65</v>
      </c>
      <c r="F114" s="6" t="s">
        <v>65</v>
      </c>
      <c r="G114" s="9" t="s">
        <v>541</v>
      </c>
      <c r="H114" s="9" t="s">
        <v>425</v>
      </c>
      <c r="I114" s="9" t="s">
        <v>426</v>
      </c>
      <c r="J114" s="9" t="s">
        <v>427</v>
      </c>
      <c r="K114" s="9" t="s">
        <v>413</v>
      </c>
      <c r="L114" s="9"/>
      <c r="M114" s="12" t="s">
        <v>145</v>
      </c>
      <c r="N114" s="12" t="s">
        <v>1625</v>
      </c>
      <c r="O114" s="12" t="s">
        <v>1626</v>
      </c>
      <c r="P114" s="12" t="s">
        <v>1627</v>
      </c>
      <c r="Q114" s="12"/>
      <c r="R114" s="12" t="s">
        <v>1628</v>
      </c>
      <c r="S114" s="12" t="s">
        <v>32</v>
      </c>
      <c r="T114" s="6" t="s">
        <v>432</v>
      </c>
      <c r="U114" s="6" t="s">
        <v>542</v>
      </c>
      <c r="V114" s="6" t="s">
        <v>1629</v>
      </c>
    </row>
    <row r="115" spans="1:22" ht="22.5" customHeight="1" x14ac:dyDescent="0.25">
      <c r="A115" s="6" t="s">
        <v>543</v>
      </c>
      <c r="B115" s="6" t="s">
        <v>63</v>
      </c>
      <c r="C115" s="6" t="s">
        <v>423</v>
      </c>
      <c r="D115" s="6" t="s">
        <v>483</v>
      </c>
      <c r="E115" s="6" t="s">
        <v>65</v>
      </c>
      <c r="F115" s="6" t="s">
        <v>65</v>
      </c>
      <c r="G115" s="9" t="s">
        <v>544</v>
      </c>
      <c r="H115" s="9" t="s">
        <v>425</v>
      </c>
      <c r="I115" s="9" t="s">
        <v>426</v>
      </c>
      <c r="J115" s="9" t="s">
        <v>427</v>
      </c>
      <c r="K115" s="9" t="s">
        <v>413</v>
      </c>
      <c r="L115" s="9"/>
      <c r="M115" s="12" t="s">
        <v>145</v>
      </c>
      <c r="N115" s="12" t="s">
        <v>1625</v>
      </c>
      <c r="O115" s="12" t="s">
        <v>1626</v>
      </c>
      <c r="P115" s="12" t="s">
        <v>1627</v>
      </c>
      <c r="Q115" s="12"/>
      <c r="R115" s="12" t="s">
        <v>1628</v>
      </c>
      <c r="S115" s="12" t="s">
        <v>32</v>
      </c>
      <c r="T115" s="6" t="s">
        <v>432</v>
      </c>
      <c r="U115" s="6" t="s">
        <v>545</v>
      </c>
      <c r="V115" s="6" t="s">
        <v>1629</v>
      </c>
    </row>
    <row r="116" spans="1:22" ht="22.5" customHeight="1" x14ac:dyDescent="0.25">
      <c r="A116" s="6" t="s">
        <v>546</v>
      </c>
      <c r="B116" s="6" t="s">
        <v>63</v>
      </c>
      <c r="C116" s="6" t="s">
        <v>423</v>
      </c>
      <c r="D116" s="6" t="s">
        <v>483</v>
      </c>
      <c r="E116" s="6" t="s">
        <v>65</v>
      </c>
      <c r="F116" s="6" t="s">
        <v>65</v>
      </c>
      <c r="G116" s="9" t="s">
        <v>547</v>
      </c>
      <c r="H116" s="9" t="s">
        <v>425</v>
      </c>
      <c r="I116" s="9" t="s">
        <v>426</v>
      </c>
      <c r="J116" s="9" t="s">
        <v>427</v>
      </c>
      <c r="K116" s="9" t="s">
        <v>413</v>
      </c>
      <c r="L116" s="9"/>
      <c r="M116" s="12" t="s">
        <v>145</v>
      </c>
      <c r="N116" s="12" t="s">
        <v>1625</v>
      </c>
      <c r="O116" s="12" t="s">
        <v>1626</v>
      </c>
      <c r="P116" s="12" t="s">
        <v>1627</v>
      </c>
      <c r="Q116" s="12"/>
      <c r="R116" s="12" t="s">
        <v>1628</v>
      </c>
      <c r="S116" s="12" t="s">
        <v>32</v>
      </c>
      <c r="T116" s="6" t="s">
        <v>432</v>
      </c>
      <c r="U116" s="6" t="s">
        <v>548</v>
      </c>
      <c r="V116" s="6" t="s">
        <v>1629</v>
      </c>
    </row>
    <row r="117" spans="1:22" ht="22.5" customHeight="1" x14ac:dyDescent="0.25">
      <c r="A117" s="6" t="s">
        <v>549</v>
      </c>
      <c r="B117" s="6" t="s">
        <v>63</v>
      </c>
      <c r="C117" s="6" t="s">
        <v>407</v>
      </c>
      <c r="D117" s="6" t="s">
        <v>483</v>
      </c>
      <c r="E117" s="6" t="s">
        <v>65</v>
      </c>
      <c r="F117" s="6" t="s">
        <v>65</v>
      </c>
      <c r="G117" s="9" t="s">
        <v>550</v>
      </c>
      <c r="H117" s="9" t="s">
        <v>410</v>
      </c>
      <c r="I117" s="9" t="s">
        <v>411</v>
      </c>
      <c r="J117" s="9" t="s">
        <v>412</v>
      </c>
      <c r="K117" s="9" t="s">
        <v>413</v>
      </c>
      <c r="L117" s="9" t="s">
        <v>414</v>
      </c>
      <c r="M117" s="12" t="s">
        <v>145</v>
      </c>
      <c r="N117" s="12" t="s">
        <v>1620</v>
      </c>
      <c r="O117" s="12" t="s">
        <v>1621</v>
      </c>
      <c r="P117" s="12" t="s">
        <v>1622</v>
      </c>
      <c r="Q117" s="12"/>
      <c r="R117" s="12" t="s">
        <v>1623</v>
      </c>
      <c r="S117" s="12" t="s">
        <v>32</v>
      </c>
      <c r="T117" s="6" t="s">
        <v>447</v>
      </c>
      <c r="U117" s="6" t="s">
        <v>551</v>
      </c>
      <c r="V117" s="6" t="s">
        <v>1624</v>
      </c>
    </row>
    <row r="118" spans="1:22" ht="22.5" customHeight="1" x14ac:dyDescent="0.25">
      <c r="A118" s="6" t="s">
        <v>552</v>
      </c>
      <c r="B118" s="6" t="s">
        <v>63</v>
      </c>
      <c r="C118" s="6" t="s">
        <v>407</v>
      </c>
      <c r="D118" s="6" t="s">
        <v>553</v>
      </c>
      <c r="E118" s="6" t="s">
        <v>65</v>
      </c>
      <c r="F118" s="6" t="s">
        <v>65</v>
      </c>
      <c r="G118" s="9" t="s">
        <v>554</v>
      </c>
      <c r="H118" s="9" t="s">
        <v>410</v>
      </c>
      <c r="I118" s="9" t="s">
        <v>411</v>
      </c>
      <c r="J118" s="9" t="s">
        <v>412</v>
      </c>
      <c r="K118" s="9" t="s">
        <v>413</v>
      </c>
      <c r="L118" s="9" t="s">
        <v>414</v>
      </c>
      <c r="M118" s="12" t="s">
        <v>71</v>
      </c>
      <c r="N118" s="12" t="s">
        <v>415</v>
      </c>
      <c r="O118" s="12" t="s">
        <v>416</v>
      </c>
      <c r="P118" s="12" t="s">
        <v>417</v>
      </c>
      <c r="Q118" s="12"/>
      <c r="R118" s="12" t="s">
        <v>418</v>
      </c>
      <c r="S118" s="12" t="s">
        <v>30</v>
      </c>
      <c r="T118" s="6" t="s">
        <v>419</v>
      </c>
      <c r="U118" s="6" t="s">
        <v>555</v>
      </c>
      <c r="V118" s="6" t="s">
        <v>421</v>
      </c>
    </row>
    <row r="119" spans="1:22" ht="22.5" customHeight="1" x14ac:dyDescent="0.25">
      <c r="A119" s="6" t="s">
        <v>556</v>
      </c>
      <c r="B119" s="6" t="s">
        <v>63</v>
      </c>
      <c r="C119" s="6" t="s">
        <v>423</v>
      </c>
      <c r="D119" s="6" t="s">
        <v>553</v>
      </c>
      <c r="E119" s="6" t="s">
        <v>65</v>
      </c>
      <c r="F119" s="6" t="s">
        <v>65</v>
      </c>
      <c r="G119" s="9" t="s">
        <v>557</v>
      </c>
      <c r="H119" s="9" t="s">
        <v>425</v>
      </c>
      <c r="I119" s="9" t="s">
        <v>426</v>
      </c>
      <c r="J119" s="9" t="s">
        <v>427</v>
      </c>
      <c r="K119" s="9" t="s">
        <v>413</v>
      </c>
      <c r="L119" s="9"/>
      <c r="M119" s="12" t="s">
        <v>113</v>
      </c>
      <c r="N119" s="12" t="s">
        <v>428</v>
      </c>
      <c r="O119" s="12" t="s">
        <v>429</v>
      </c>
      <c r="P119" s="12" t="s">
        <v>430</v>
      </c>
      <c r="Q119" s="12"/>
      <c r="R119" s="12" t="s">
        <v>431</v>
      </c>
      <c r="S119" s="12" t="s">
        <v>30</v>
      </c>
      <c r="T119" s="6" t="s">
        <v>432</v>
      </c>
      <c r="U119" s="6" t="s">
        <v>558</v>
      </c>
      <c r="V119" s="6" t="s">
        <v>434</v>
      </c>
    </row>
    <row r="120" spans="1:22" ht="22.5" customHeight="1" x14ac:dyDescent="0.25">
      <c r="A120" s="6" t="s">
        <v>559</v>
      </c>
      <c r="B120" s="6" t="s">
        <v>63</v>
      </c>
      <c r="C120" s="6" t="s">
        <v>407</v>
      </c>
      <c r="D120" s="6" t="s">
        <v>553</v>
      </c>
      <c r="E120" s="6" t="s">
        <v>65</v>
      </c>
      <c r="F120" s="6" t="s">
        <v>65</v>
      </c>
      <c r="G120" s="9" t="s">
        <v>560</v>
      </c>
      <c r="H120" s="9" t="s">
        <v>410</v>
      </c>
      <c r="I120" s="9" t="s">
        <v>411</v>
      </c>
      <c r="J120" s="9" t="s">
        <v>412</v>
      </c>
      <c r="K120" s="9" t="s">
        <v>413</v>
      </c>
      <c r="L120" s="9" t="s">
        <v>414</v>
      </c>
      <c r="M120" s="12" t="s">
        <v>71</v>
      </c>
      <c r="N120" s="12" t="s">
        <v>415</v>
      </c>
      <c r="O120" s="12" t="s">
        <v>416</v>
      </c>
      <c r="P120" s="12" t="s">
        <v>417</v>
      </c>
      <c r="Q120" s="12"/>
      <c r="R120" s="12" t="s">
        <v>418</v>
      </c>
      <c r="S120" s="12" t="s">
        <v>30</v>
      </c>
      <c r="T120" s="6" t="s">
        <v>419</v>
      </c>
      <c r="U120" s="6" t="s">
        <v>561</v>
      </c>
      <c r="V120" s="6" t="s">
        <v>421</v>
      </c>
    </row>
    <row r="121" spans="1:22" ht="22.5" customHeight="1" x14ac:dyDescent="0.25">
      <c r="A121" s="6" t="s">
        <v>562</v>
      </c>
      <c r="B121" s="6" t="s">
        <v>63</v>
      </c>
      <c r="C121" s="6" t="s">
        <v>407</v>
      </c>
      <c r="D121" s="6" t="s">
        <v>553</v>
      </c>
      <c r="E121" s="6" t="s">
        <v>65</v>
      </c>
      <c r="F121" s="6" t="s">
        <v>65</v>
      </c>
      <c r="G121" s="9" t="s">
        <v>563</v>
      </c>
      <c r="H121" s="9" t="s">
        <v>410</v>
      </c>
      <c r="I121" s="9" t="s">
        <v>411</v>
      </c>
      <c r="J121" s="9" t="s">
        <v>412</v>
      </c>
      <c r="K121" s="9" t="s">
        <v>413</v>
      </c>
      <c r="L121" s="9" t="s">
        <v>414</v>
      </c>
      <c r="M121" s="12" t="s">
        <v>71</v>
      </c>
      <c r="N121" s="12" t="s">
        <v>415</v>
      </c>
      <c r="O121" s="12" t="s">
        <v>416</v>
      </c>
      <c r="P121" s="12" t="s">
        <v>417</v>
      </c>
      <c r="Q121" s="12"/>
      <c r="R121" s="12" t="s">
        <v>418</v>
      </c>
      <c r="S121" s="12" t="s">
        <v>30</v>
      </c>
      <c r="T121" s="6" t="s">
        <v>419</v>
      </c>
      <c r="U121" s="6" t="s">
        <v>564</v>
      </c>
      <c r="V121" s="6" t="s">
        <v>421</v>
      </c>
    </row>
    <row r="122" spans="1:22" ht="22.5" customHeight="1" x14ac:dyDescent="0.25">
      <c r="A122" s="6" t="s">
        <v>565</v>
      </c>
      <c r="B122" s="6" t="s">
        <v>63</v>
      </c>
      <c r="C122" s="6" t="s">
        <v>423</v>
      </c>
      <c r="D122" s="6" t="s">
        <v>553</v>
      </c>
      <c r="E122" s="6" t="s">
        <v>65</v>
      </c>
      <c r="F122" s="6" t="s">
        <v>65</v>
      </c>
      <c r="G122" s="9" t="s">
        <v>566</v>
      </c>
      <c r="H122" s="9" t="s">
        <v>425</v>
      </c>
      <c r="I122" s="9" t="s">
        <v>426</v>
      </c>
      <c r="J122" s="9" t="s">
        <v>427</v>
      </c>
      <c r="K122" s="9" t="s">
        <v>413</v>
      </c>
      <c r="L122" s="9"/>
      <c r="M122" s="12" t="s">
        <v>113</v>
      </c>
      <c r="N122" s="12" t="s">
        <v>428</v>
      </c>
      <c r="O122" s="12" t="s">
        <v>429</v>
      </c>
      <c r="P122" s="12" t="s">
        <v>430</v>
      </c>
      <c r="Q122" s="12"/>
      <c r="R122" s="12" t="s">
        <v>431</v>
      </c>
      <c r="S122" s="12" t="s">
        <v>30</v>
      </c>
      <c r="T122" s="6" t="s">
        <v>432</v>
      </c>
      <c r="U122" s="6" t="s">
        <v>567</v>
      </c>
      <c r="V122" s="6" t="s">
        <v>434</v>
      </c>
    </row>
    <row r="123" spans="1:22" ht="22.5" customHeight="1" x14ac:dyDescent="0.25">
      <c r="A123" s="6" t="s">
        <v>568</v>
      </c>
      <c r="B123" s="6" t="s">
        <v>63</v>
      </c>
      <c r="C123" s="6" t="s">
        <v>423</v>
      </c>
      <c r="D123" s="6" t="s">
        <v>553</v>
      </c>
      <c r="E123" s="6" t="s">
        <v>65</v>
      </c>
      <c r="F123" s="6" t="s">
        <v>65</v>
      </c>
      <c r="G123" s="9" t="s">
        <v>569</v>
      </c>
      <c r="H123" s="9" t="s">
        <v>425</v>
      </c>
      <c r="I123" s="9" t="s">
        <v>426</v>
      </c>
      <c r="J123" s="9" t="s">
        <v>427</v>
      </c>
      <c r="K123" s="9" t="s">
        <v>413</v>
      </c>
      <c r="L123" s="9"/>
      <c r="M123" s="12" t="s">
        <v>113</v>
      </c>
      <c r="N123" s="12" t="s">
        <v>428</v>
      </c>
      <c r="O123" s="12" t="s">
        <v>429</v>
      </c>
      <c r="P123" s="12" t="s">
        <v>430</v>
      </c>
      <c r="Q123" s="12"/>
      <c r="R123" s="12" t="s">
        <v>431</v>
      </c>
      <c r="S123" s="12" t="s">
        <v>30</v>
      </c>
      <c r="T123" s="6" t="s">
        <v>432</v>
      </c>
      <c r="U123" s="6" t="s">
        <v>570</v>
      </c>
      <c r="V123" s="6" t="s">
        <v>434</v>
      </c>
    </row>
    <row r="124" spans="1:22" ht="22.5" customHeight="1" x14ac:dyDescent="0.25">
      <c r="A124" s="6" t="s">
        <v>571</v>
      </c>
      <c r="B124" s="6" t="s">
        <v>63</v>
      </c>
      <c r="C124" s="6" t="s">
        <v>407</v>
      </c>
      <c r="D124" s="6" t="s">
        <v>553</v>
      </c>
      <c r="E124" s="6" t="s">
        <v>65</v>
      </c>
      <c r="F124" s="6" t="s">
        <v>65</v>
      </c>
      <c r="G124" s="9" t="s">
        <v>572</v>
      </c>
      <c r="H124" s="9" t="s">
        <v>410</v>
      </c>
      <c r="I124" s="9" t="s">
        <v>411</v>
      </c>
      <c r="J124" s="9" t="s">
        <v>412</v>
      </c>
      <c r="K124" s="9" t="s">
        <v>413</v>
      </c>
      <c r="L124" s="9" t="s">
        <v>414</v>
      </c>
      <c r="M124" s="12" t="s">
        <v>71</v>
      </c>
      <c r="N124" s="12" t="s">
        <v>415</v>
      </c>
      <c r="O124" s="12" t="s">
        <v>416</v>
      </c>
      <c r="P124" s="12" t="s">
        <v>417</v>
      </c>
      <c r="Q124" s="12"/>
      <c r="R124" s="12" t="s">
        <v>418</v>
      </c>
      <c r="S124" s="12" t="s">
        <v>30</v>
      </c>
      <c r="T124" s="6" t="s">
        <v>419</v>
      </c>
      <c r="U124" s="6" t="s">
        <v>573</v>
      </c>
      <c r="V124" s="6" t="s">
        <v>421</v>
      </c>
    </row>
    <row r="125" spans="1:22" ht="22.5" customHeight="1" x14ac:dyDescent="0.25">
      <c r="A125" s="6" t="s">
        <v>574</v>
      </c>
      <c r="B125" s="6" t="s">
        <v>63</v>
      </c>
      <c r="C125" s="6" t="s">
        <v>423</v>
      </c>
      <c r="D125" s="6" t="s">
        <v>553</v>
      </c>
      <c r="E125" s="6" t="s">
        <v>65</v>
      </c>
      <c r="F125" s="6" t="s">
        <v>65</v>
      </c>
      <c r="G125" s="9" t="s">
        <v>575</v>
      </c>
      <c r="H125" s="9" t="s">
        <v>425</v>
      </c>
      <c r="I125" s="9" t="s">
        <v>426</v>
      </c>
      <c r="J125" s="9" t="s">
        <v>427</v>
      </c>
      <c r="K125" s="9" t="s">
        <v>413</v>
      </c>
      <c r="L125" s="9"/>
      <c r="M125" s="12" t="s">
        <v>113</v>
      </c>
      <c r="N125" s="12" t="s">
        <v>428</v>
      </c>
      <c r="O125" s="12" t="s">
        <v>429</v>
      </c>
      <c r="P125" s="12" t="s">
        <v>430</v>
      </c>
      <c r="Q125" s="12"/>
      <c r="R125" s="12" t="s">
        <v>431</v>
      </c>
      <c r="S125" s="12" t="s">
        <v>30</v>
      </c>
      <c r="T125" s="6" t="s">
        <v>432</v>
      </c>
      <c r="U125" s="6" t="s">
        <v>576</v>
      </c>
      <c r="V125" s="6" t="s">
        <v>434</v>
      </c>
    </row>
    <row r="126" spans="1:22" ht="22.5" customHeight="1" x14ac:dyDescent="0.25">
      <c r="A126" s="6" t="s">
        <v>577</v>
      </c>
      <c r="B126" s="6" t="s">
        <v>63</v>
      </c>
      <c r="C126" s="6" t="s">
        <v>407</v>
      </c>
      <c r="D126" s="6" t="s">
        <v>553</v>
      </c>
      <c r="E126" s="6" t="s">
        <v>65</v>
      </c>
      <c r="F126" s="6" t="s">
        <v>65</v>
      </c>
      <c r="G126" s="9" t="s">
        <v>578</v>
      </c>
      <c r="H126" s="9" t="s">
        <v>410</v>
      </c>
      <c r="I126" s="9" t="s">
        <v>411</v>
      </c>
      <c r="J126" s="9" t="s">
        <v>412</v>
      </c>
      <c r="K126" s="9" t="s">
        <v>413</v>
      </c>
      <c r="L126" s="9" t="s">
        <v>414</v>
      </c>
      <c r="M126" s="12" t="s">
        <v>71</v>
      </c>
      <c r="N126" s="12" t="s">
        <v>415</v>
      </c>
      <c r="O126" s="12" t="s">
        <v>416</v>
      </c>
      <c r="P126" s="12" t="s">
        <v>417</v>
      </c>
      <c r="Q126" s="12"/>
      <c r="R126" s="12" t="s">
        <v>418</v>
      </c>
      <c r="S126" s="12" t="s">
        <v>30</v>
      </c>
      <c r="T126" s="6" t="s">
        <v>419</v>
      </c>
      <c r="U126" s="6" t="s">
        <v>579</v>
      </c>
      <c r="V126" s="6" t="s">
        <v>421</v>
      </c>
    </row>
    <row r="127" spans="1:22" ht="22.5" customHeight="1" x14ac:dyDescent="0.25">
      <c r="A127" s="6" t="s">
        <v>580</v>
      </c>
      <c r="B127" s="6" t="s">
        <v>63</v>
      </c>
      <c r="C127" s="6" t="s">
        <v>423</v>
      </c>
      <c r="D127" s="6" t="s">
        <v>553</v>
      </c>
      <c r="E127" s="6" t="s">
        <v>65</v>
      </c>
      <c r="F127" s="6" t="s">
        <v>439</v>
      </c>
      <c r="G127" s="9" t="s">
        <v>581</v>
      </c>
      <c r="H127" s="9" t="s">
        <v>425</v>
      </c>
      <c r="I127" s="9" t="s">
        <v>426</v>
      </c>
      <c r="J127" s="9" t="s">
        <v>427</v>
      </c>
      <c r="K127" s="9" t="s">
        <v>413</v>
      </c>
      <c r="L127" s="9"/>
      <c r="M127" s="12" t="s">
        <v>113</v>
      </c>
      <c r="N127" s="12" t="s">
        <v>428</v>
      </c>
      <c r="O127" s="12" t="s">
        <v>429</v>
      </c>
      <c r="P127" s="12" t="s">
        <v>430</v>
      </c>
      <c r="Q127" s="12"/>
      <c r="R127" s="12" t="s">
        <v>431</v>
      </c>
      <c r="S127" s="12" t="s">
        <v>30</v>
      </c>
      <c r="T127" s="6" t="s">
        <v>432</v>
      </c>
      <c r="U127" s="6" t="s">
        <v>582</v>
      </c>
      <c r="V127" s="6" t="s">
        <v>434</v>
      </c>
    </row>
    <row r="128" spans="1:22" ht="22.5" customHeight="1" x14ac:dyDescent="0.25">
      <c r="A128" s="6" t="s">
        <v>583</v>
      </c>
      <c r="B128" s="6" t="s">
        <v>63</v>
      </c>
      <c r="C128" s="6" t="s">
        <v>423</v>
      </c>
      <c r="D128" s="6" t="s">
        <v>553</v>
      </c>
      <c r="E128" s="6" t="s">
        <v>65</v>
      </c>
      <c r="F128" s="6" t="s">
        <v>439</v>
      </c>
      <c r="G128" s="9" t="s">
        <v>584</v>
      </c>
      <c r="H128" s="9" t="s">
        <v>425</v>
      </c>
      <c r="I128" s="9" t="s">
        <v>426</v>
      </c>
      <c r="J128" s="9" t="s">
        <v>427</v>
      </c>
      <c r="K128" s="9" t="s">
        <v>413</v>
      </c>
      <c r="L128" s="9"/>
      <c r="M128" s="12" t="s">
        <v>113</v>
      </c>
      <c r="N128" s="12" t="s">
        <v>428</v>
      </c>
      <c r="O128" s="12" t="s">
        <v>429</v>
      </c>
      <c r="P128" s="12" t="s">
        <v>430</v>
      </c>
      <c r="Q128" s="12"/>
      <c r="R128" s="12" t="s">
        <v>431</v>
      </c>
      <c r="S128" s="12" t="s">
        <v>30</v>
      </c>
      <c r="T128" s="6" t="s">
        <v>432</v>
      </c>
      <c r="U128" s="6" t="s">
        <v>585</v>
      </c>
      <c r="V128" s="6" t="s">
        <v>434</v>
      </c>
    </row>
    <row r="129" spans="1:22" ht="22.5" customHeight="1" x14ac:dyDescent="0.25">
      <c r="A129" s="6" t="s">
        <v>586</v>
      </c>
      <c r="B129" s="6" t="s">
        <v>63</v>
      </c>
      <c r="C129" s="6" t="s">
        <v>407</v>
      </c>
      <c r="D129" s="6" t="s">
        <v>553</v>
      </c>
      <c r="E129" s="6" t="s">
        <v>65</v>
      </c>
      <c r="F129" s="6" t="s">
        <v>65</v>
      </c>
      <c r="G129" s="9" t="s">
        <v>587</v>
      </c>
      <c r="H129" s="9" t="s">
        <v>410</v>
      </c>
      <c r="I129" s="9" t="s">
        <v>411</v>
      </c>
      <c r="J129" s="9" t="s">
        <v>412</v>
      </c>
      <c r="K129" s="9" t="s">
        <v>413</v>
      </c>
      <c r="L129" s="9" t="s">
        <v>414</v>
      </c>
      <c r="M129" s="12" t="s">
        <v>71</v>
      </c>
      <c r="N129" s="12" t="s">
        <v>415</v>
      </c>
      <c r="O129" s="12" t="s">
        <v>416</v>
      </c>
      <c r="P129" s="12" t="s">
        <v>417</v>
      </c>
      <c r="Q129" s="12"/>
      <c r="R129" s="12" t="s">
        <v>418</v>
      </c>
      <c r="S129" s="12" t="s">
        <v>30</v>
      </c>
      <c r="T129" s="6" t="s">
        <v>447</v>
      </c>
      <c r="U129" s="6" t="s">
        <v>588</v>
      </c>
      <c r="V129" s="6" t="s">
        <v>421</v>
      </c>
    </row>
    <row r="130" spans="1:22" ht="22.5" customHeight="1" x14ac:dyDescent="0.25">
      <c r="A130" s="6" t="s">
        <v>589</v>
      </c>
      <c r="B130" s="6" t="s">
        <v>63</v>
      </c>
      <c r="C130" s="6" t="s">
        <v>407</v>
      </c>
      <c r="D130" s="6" t="s">
        <v>590</v>
      </c>
      <c r="E130" s="6" t="s">
        <v>65</v>
      </c>
      <c r="F130" s="6" t="s">
        <v>65</v>
      </c>
      <c r="G130" s="9" t="s">
        <v>591</v>
      </c>
      <c r="H130" s="9" t="s">
        <v>410</v>
      </c>
      <c r="I130" s="9" t="s">
        <v>411</v>
      </c>
      <c r="J130" s="9" t="s">
        <v>412</v>
      </c>
      <c r="K130" s="9" t="s">
        <v>413</v>
      </c>
      <c r="L130" s="9" t="s">
        <v>414</v>
      </c>
      <c r="M130" s="12" t="s">
        <v>71</v>
      </c>
      <c r="N130" s="12" t="s">
        <v>415</v>
      </c>
      <c r="O130" s="12" t="s">
        <v>416</v>
      </c>
      <c r="P130" s="12" t="s">
        <v>417</v>
      </c>
      <c r="Q130" s="12"/>
      <c r="R130" s="12" t="s">
        <v>418</v>
      </c>
      <c r="S130" s="12" t="s">
        <v>30</v>
      </c>
      <c r="T130" s="6" t="s">
        <v>419</v>
      </c>
      <c r="U130" s="6" t="s">
        <v>592</v>
      </c>
      <c r="V130" s="6" t="s">
        <v>421</v>
      </c>
    </row>
    <row r="131" spans="1:22" ht="22.5" customHeight="1" x14ac:dyDescent="0.25">
      <c r="A131" s="6" t="s">
        <v>593</v>
      </c>
      <c r="B131" s="6" t="s">
        <v>63</v>
      </c>
      <c r="C131" s="6" t="s">
        <v>423</v>
      </c>
      <c r="D131" s="6" t="s">
        <v>590</v>
      </c>
      <c r="E131" s="6" t="s">
        <v>65</v>
      </c>
      <c r="F131" s="6" t="s">
        <v>65</v>
      </c>
      <c r="G131" s="9" t="s">
        <v>594</v>
      </c>
      <c r="H131" s="9" t="s">
        <v>425</v>
      </c>
      <c r="I131" s="9" t="s">
        <v>426</v>
      </c>
      <c r="J131" s="9" t="s">
        <v>427</v>
      </c>
      <c r="K131" s="9" t="s">
        <v>413</v>
      </c>
      <c r="L131" s="9"/>
      <c r="M131" s="12" t="s">
        <v>113</v>
      </c>
      <c r="N131" s="12" t="s">
        <v>428</v>
      </c>
      <c r="O131" s="12" t="s">
        <v>429</v>
      </c>
      <c r="P131" s="12" t="s">
        <v>430</v>
      </c>
      <c r="Q131" s="12"/>
      <c r="R131" s="12" t="s">
        <v>431</v>
      </c>
      <c r="S131" s="12" t="s">
        <v>30</v>
      </c>
      <c r="T131" s="6" t="s">
        <v>432</v>
      </c>
      <c r="U131" s="6" t="s">
        <v>595</v>
      </c>
      <c r="V131" s="6" t="s">
        <v>434</v>
      </c>
    </row>
    <row r="132" spans="1:22" ht="22.5" customHeight="1" x14ac:dyDescent="0.25">
      <c r="A132" s="6" t="s">
        <v>596</v>
      </c>
      <c r="B132" s="6" t="s">
        <v>63</v>
      </c>
      <c r="C132" s="6" t="s">
        <v>407</v>
      </c>
      <c r="D132" s="6" t="s">
        <v>590</v>
      </c>
      <c r="E132" s="6" t="s">
        <v>65</v>
      </c>
      <c r="F132" s="6" t="s">
        <v>65</v>
      </c>
      <c r="G132" s="9" t="s">
        <v>597</v>
      </c>
      <c r="H132" s="9" t="s">
        <v>410</v>
      </c>
      <c r="I132" s="9" t="s">
        <v>411</v>
      </c>
      <c r="J132" s="9" t="s">
        <v>412</v>
      </c>
      <c r="K132" s="9" t="s">
        <v>413</v>
      </c>
      <c r="L132" s="9" t="s">
        <v>414</v>
      </c>
      <c r="M132" s="12" t="s">
        <v>71</v>
      </c>
      <c r="N132" s="12" t="s">
        <v>415</v>
      </c>
      <c r="O132" s="12" t="s">
        <v>416</v>
      </c>
      <c r="P132" s="12" t="s">
        <v>417</v>
      </c>
      <c r="Q132" s="12"/>
      <c r="R132" s="12" t="s">
        <v>418</v>
      </c>
      <c r="S132" s="12" t="s">
        <v>30</v>
      </c>
      <c r="T132" s="6" t="s">
        <v>419</v>
      </c>
      <c r="U132" s="6" t="s">
        <v>598</v>
      </c>
      <c r="V132" s="6" t="s">
        <v>421</v>
      </c>
    </row>
    <row r="133" spans="1:22" ht="22.5" customHeight="1" x14ac:dyDescent="0.25">
      <c r="A133" s="6" t="s">
        <v>599</v>
      </c>
      <c r="B133" s="6" t="s">
        <v>63</v>
      </c>
      <c r="C133" s="6" t="s">
        <v>423</v>
      </c>
      <c r="D133" s="6" t="s">
        <v>590</v>
      </c>
      <c r="E133" s="6" t="s">
        <v>65</v>
      </c>
      <c r="F133" s="6" t="s">
        <v>65</v>
      </c>
      <c r="G133" s="9" t="s">
        <v>600</v>
      </c>
      <c r="H133" s="9" t="s">
        <v>425</v>
      </c>
      <c r="I133" s="9" t="s">
        <v>426</v>
      </c>
      <c r="J133" s="9" t="s">
        <v>427</v>
      </c>
      <c r="K133" s="9" t="s">
        <v>413</v>
      </c>
      <c r="L133" s="9"/>
      <c r="M133" s="12" t="s">
        <v>113</v>
      </c>
      <c r="N133" s="12" t="s">
        <v>428</v>
      </c>
      <c r="O133" s="12" t="s">
        <v>429</v>
      </c>
      <c r="P133" s="12" t="s">
        <v>430</v>
      </c>
      <c r="Q133" s="12"/>
      <c r="R133" s="12" t="s">
        <v>431</v>
      </c>
      <c r="S133" s="12" t="s">
        <v>30</v>
      </c>
      <c r="T133" s="6" t="s">
        <v>432</v>
      </c>
      <c r="U133" s="6" t="s">
        <v>601</v>
      </c>
      <c r="V133" s="6" t="s">
        <v>434</v>
      </c>
    </row>
    <row r="134" spans="1:22" ht="22.5" customHeight="1" x14ac:dyDescent="0.25">
      <c r="A134" s="6" t="s">
        <v>602</v>
      </c>
      <c r="B134" s="6" t="s">
        <v>63</v>
      </c>
      <c r="C134" s="6" t="s">
        <v>407</v>
      </c>
      <c r="D134" s="6" t="s">
        <v>590</v>
      </c>
      <c r="E134" s="6" t="s">
        <v>65</v>
      </c>
      <c r="F134" s="6" t="s">
        <v>65</v>
      </c>
      <c r="G134" s="9" t="s">
        <v>603</v>
      </c>
      <c r="H134" s="9" t="s">
        <v>410</v>
      </c>
      <c r="I134" s="9" t="s">
        <v>411</v>
      </c>
      <c r="J134" s="9" t="s">
        <v>412</v>
      </c>
      <c r="K134" s="9" t="s">
        <v>413</v>
      </c>
      <c r="L134" s="9" t="s">
        <v>414</v>
      </c>
      <c r="M134" s="12" t="s">
        <v>71</v>
      </c>
      <c r="N134" s="12" t="s">
        <v>415</v>
      </c>
      <c r="O134" s="12" t="s">
        <v>416</v>
      </c>
      <c r="P134" s="12" t="s">
        <v>417</v>
      </c>
      <c r="Q134" s="12"/>
      <c r="R134" s="12" t="s">
        <v>418</v>
      </c>
      <c r="S134" s="12" t="s">
        <v>30</v>
      </c>
      <c r="T134" s="6" t="s">
        <v>419</v>
      </c>
      <c r="U134" s="6" t="s">
        <v>604</v>
      </c>
      <c r="V134" s="6" t="s">
        <v>421</v>
      </c>
    </row>
    <row r="135" spans="1:22" ht="22.5" customHeight="1" x14ac:dyDescent="0.25">
      <c r="A135" s="6" t="s">
        <v>605</v>
      </c>
      <c r="B135" s="6" t="s">
        <v>63</v>
      </c>
      <c r="C135" s="6" t="s">
        <v>423</v>
      </c>
      <c r="D135" s="6" t="s">
        <v>590</v>
      </c>
      <c r="E135" s="6" t="s">
        <v>65</v>
      </c>
      <c r="F135" s="6" t="s">
        <v>65</v>
      </c>
      <c r="G135" s="9" t="s">
        <v>606</v>
      </c>
      <c r="H135" s="9" t="s">
        <v>425</v>
      </c>
      <c r="I135" s="9" t="s">
        <v>426</v>
      </c>
      <c r="J135" s="9" t="s">
        <v>427</v>
      </c>
      <c r="K135" s="9" t="s">
        <v>413</v>
      </c>
      <c r="L135" s="9"/>
      <c r="M135" s="12" t="s">
        <v>113</v>
      </c>
      <c r="N135" s="12" t="s">
        <v>428</v>
      </c>
      <c r="O135" s="12" t="s">
        <v>429</v>
      </c>
      <c r="P135" s="12" t="s">
        <v>430</v>
      </c>
      <c r="Q135" s="12"/>
      <c r="R135" s="12" t="s">
        <v>431</v>
      </c>
      <c r="S135" s="12" t="s">
        <v>30</v>
      </c>
      <c r="T135" s="6" t="s">
        <v>432</v>
      </c>
      <c r="U135" s="6" t="s">
        <v>607</v>
      </c>
      <c r="V135" s="6" t="s">
        <v>434</v>
      </c>
    </row>
    <row r="136" spans="1:22" ht="22.5" customHeight="1" x14ac:dyDescent="0.25">
      <c r="A136" s="6" t="s">
        <v>608</v>
      </c>
      <c r="B136" s="6" t="s">
        <v>63</v>
      </c>
      <c r="C136" s="6" t="s">
        <v>407</v>
      </c>
      <c r="D136" s="6" t="s">
        <v>590</v>
      </c>
      <c r="E136" s="6" t="s">
        <v>65</v>
      </c>
      <c r="F136" s="6" t="s">
        <v>65</v>
      </c>
      <c r="G136" s="9" t="s">
        <v>609</v>
      </c>
      <c r="H136" s="9" t="s">
        <v>410</v>
      </c>
      <c r="I136" s="9" t="s">
        <v>411</v>
      </c>
      <c r="J136" s="9" t="s">
        <v>412</v>
      </c>
      <c r="K136" s="9" t="s">
        <v>413</v>
      </c>
      <c r="L136" s="9" t="s">
        <v>414</v>
      </c>
      <c r="M136" s="12" t="s">
        <v>71</v>
      </c>
      <c r="N136" s="12" t="s">
        <v>415</v>
      </c>
      <c r="O136" s="12" t="s">
        <v>416</v>
      </c>
      <c r="P136" s="12" t="s">
        <v>417</v>
      </c>
      <c r="Q136" s="12"/>
      <c r="R136" s="12" t="s">
        <v>418</v>
      </c>
      <c r="S136" s="12" t="s">
        <v>30</v>
      </c>
      <c r="T136" s="6" t="s">
        <v>419</v>
      </c>
      <c r="U136" s="6" t="s">
        <v>610</v>
      </c>
      <c r="V136" s="6" t="s">
        <v>421</v>
      </c>
    </row>
    <row r="137" spans="1:22" ht="22.5" customHeight="1" x14ac:dyDescent="0.25">
      <c r="A137" s="6" t="s">
        <v>611</v>
      </c>
      <c r="B137" s="6" t="s">
        <v>63</v>
      </c>
      <c r="C137" s="6" t="s">
        <v>423</v>
      </c>
      <c r="D137" s="6" t="s">
        <v>590</v>
      </c>
      <c r="E137" s="6" t="s">
        <v>65</v>
      </c>
      <c r="F137" s="6" t="s">
        <v>439</v>
      </c>
      <c r="G137" s="9" t="s">
        <v>612</v>
      </c>
      <c r="H137" s="9" t="s">
        <v>425</v>
      </c>
      <c r="I137" s="9" t="s">
        <v>426</v>
      </c>
      <c r="J137" s="9" t="s">
        <v>427</v>
      </c>
      <c r="K137" s="9" t="s">
        <v>413</v>
      </c>
      <c r="L137" s="9"/>
      <c r="M137" s="12" t="s">
        <v>113</v>
      </c>
      <c r="N137" s="12" t="s">
        <v>428</v>
      </c>
      <c r="O137" s="12" t="s">
        <v>429</v>
      </c>
      <c r="P137" s="12" t="s">
        <v>430</v>
      </c>
      <c r="Q137" s="12"/>
      <c r="R137" s="12" t="s">
        <v>431</v>
      </c>
      <c r="S137" s="12" t="s">
        <v>30</v>
      </c>
      <c r="T137" s="6" t="s">
        <v>432</v>
      </c>
      <c r="U137" s="6" t="s">
        <v>613</v>
      </c>
      <c r="V137" s="6" t="s">
        <v>434</v>
      </c>
    </row>
    <row r="138" spans="1:22" ht="22.5" customHeight="1" x14ac:dyDescent="0.25">
      <c r="A138" s="6" t="s">
        <v>614</v>
      </c>
      <c r="B138" s="6" t="s">
        <v>63</v>
      </c>
      <c r="C138" s="6" t="s">
        <v>423</v>
      </c>
      <c r="D138" s="6" t="s">
        <v>590</v>
      </c>
      <c r="E138" s="6" t="s">
        <v>65</v>
      </c>
      <c r="F138" s="6" t="s">
        <v>439</v>
      </c>
      <c r="G138" s="9" t="s">
        <v>615</v>
      </c>
      <c r="H138" s="9" t="s">
        <v>425</v>
      </c>
      <c r="I138" s="9" t="s">
        <v>426</v>
      </c>
      <c r="J138" s="9" t="s">
        <v>427</v>
      </c>
      <c r="K138" s="9" t="s">
        <v>413</v>
      </c>
      <c r="L138" s="9"/>
      <c r="M138" s="12" t="s">
        <v>113</v>
      </c>
      <c r="N138" s="12" t="s">
        <v>428</v>
      </c>
      <c r="O138" s="12" t="s">
        <v>429</v>
      </c>
      <c r="P138" s="12" t="s">
        <v>430</v>
      </c>
      <c r="Q138" s="12"/>
      <c r="R138" s="12" t="s">
        <v>431</v>
      </c>
      <c r="S138" s="12" t="s">
        <v>30</v>
      </c>
      <c r="T138" s="6" t="s">
        <v>432</v>
      </c>
      <c r="U138" s="6" t="s">
        <v>616</v>
      </c>
      <c r="V138" s="6" t="s">
        <v>434</v>
      </c>
    </row>
    <row r="139" spans="1:22" ht="22.5" customHeight="1" x14ac:dyDescent="0.25">
      <c r="A139" s="6" t="s">
        <v>617</v>
      </c>
      <c r="B139" s="6" t="s">
        <v>63</v>
      </c>
      <c r="C139" s="6" t="s">
        <v>407</v>
      </c>
      <c r="D139" s="6" t="s">
        <v>590</v>
      </c>
      <c r="E139" s="6" t="s">
        <v>65</v>
      </c>
      <c r="F139" s="6" t="s">
        <v>65</v>
      </c>
      <c r="G139" s="9" t="s">
        <v>618</v>
      </c>
      <c r="H139" s="9" t="s">
        <v>410</v>
      </c>
      <c r="I139" s="9" t="s">
        <v>411</v>
      </c>
      <c r="J139" s="9" t="s">
        <v>412</v>
      </c>
      <c r="K139" s="9" t="s">
        <v>413</v>
      </c>
      <c r="L139" s="9" t="s">
        <v>414</v>
      </c>
      <c r="M139" s="12" t="s">
        <v>71</v>
      </c>
      <c r="N139" s="12" t="s">
        <v>415</v>
      </c>
      <c r="O139" s="12" t="s">
        <v>416</v>
      </c>
      <c r="P139" s="12" t="s">
        <v>417</v>
      </c>
      <c r="Q139" s="12"/>
      <c r="R139" s="12" t="s">
        <v>418</v>
      </c>
      <c r="S139" s="12" t="s">
        <v>30</v>
      </c>
      <c r="T139" s="6" t="s">
        <v>447</v>
      </c>
      <c r="U139" s="6" t="s">
        <v>619</v>
      </c>
      <c r="V139" s="6" t="s">
        <v>421</v>
      </c>
    </row>
    <row r="140" spans="1:22" ht="22.5" customHeight="1" x14ac:dyDescent="0.25">
      <c r="A140" s="6" t="s">
        <v>620</v>
      </c>
      <c r="B140" s="6" t="s">
        <v>63</v>
      </c>
      <c r="C140" s="6" t="s">
        <v>407</v>
      </c>
      <c r="D140" s="6" t="s">
        <v>621</v>
      </c>
      <c r="E140" s="6" t="s">
        <v>65</v>
      </c>
      <c r="F140" s="6" t="s">
        <v>65</v>
      </c>
      <c r="G140" s="9" t="s">
        <v>622</v>
      </c>
      <c r="H140" s="9" t="s">
        <v>410</v>
      </c>
      <c r="I140" s="9" t="s">
        <v>411</v>
      </c>
      <c r="J140" s="9" t="s">
        <v>412</v>
      </c>
      <c r="K140" s="9" t="s">
        <v>413</v>
      </c>
      <c r="L140" s="9" t="s">
        <v>414</v>
      </c>
      <c r="M140" s="12" t="s">
        <v>71</v>
      </c>
      <c r="N140" s="12" t="s">
        <v>415</v>
      </c>
      <c r="O140" s="12" t="s">
        <v>416</v>
      </c>
      <c r="P140" s="12" t="s">
        <v>417</v>
      </c>
      <c r="Q140" s="12"/>
      <c r="R140" s="12" t="s">
        <v>418</v>
      </c>
      <c r="S140" s="12" t="s">
        <v>30</v>
      </c>
      <c r="T140" s="6" t="s">
        <v>419</v>
      </c>
      <c r="U140" s="6" t="s">
        <v>623</v>
      </c>
      <c r="V140" s="6" t="s">
        <v>421</v>
      </c>
    </row>
    <row r="141" spans="1:22" ht="22.5" customHeight="1" x14ac:dyDescent="0.25">
      <c r="A141" s="6" t="s">
        <v>624</v>
      </c>
      <c r="B141" s="6" t="s">
        <v>63</v>
      </c>
      <c r="C141" s="6" t="s">
        <v>423</v>
      </c>
      <c r="D141" s="6" t="s">
        <v>621</v>
      </c>
      <c r="E141" s="6" t="s">
        <v>65</v>
      </c>
      <c r="F141" s="6" t="s">
        <v>65</v>
      </c>
      <c r="G141" s="9" t="s">
        <v>625</v>
      </c>
      <c r="H141" s="9" t="s">
        <v>425</v>
      </c>
      <c r="I141" s="9" t="s">
        <v>426</v>
      </c>
      <c r="J141" s="9" t="s">
        <v>427</v>
      </c>
      <c r="K141" s="9" t="s">
        <v>413</v>
      </c>
      <c r="L141" s="9"/>
      <c r="M141" s="12" t="s">
        <v>113</v>
      </c>
      <c r="N141" s="12" t="s">
        <v>428</v>
      </c>
      <c r="O141" s="12" t="s">
        <v>429</v>
      </c>
      <c r="P141" s="12" t="s">
        <v>430</v>
      </c>
      <c r="Q141" s="12"/>
      <c r="R141" s="12" t="s">
        <v>431</v>
      </c>
      <c r="S141" s="12" t="s">
        <v>30</v>
      </c>
      <c r="T141" s="6" t="s">
        <v>432</v>
      </c>
      <c r="U141" s="6" t="s">
        <v>626</v>
      </c>
      <c r="V141" s="6" t="s">
        <v>434</v>
      </c>
    </row>
    <row r="142" spans="1:22" ht="22.5" customHeight="1" x14ac:dyDescent="0.25">
      <c r="A142" s="6" t="s">
        <v>627</v>
      </c>
      <c r="B142" s="6" t="s">
        <v>63</v>
      </c>
      <c r="C142" s="6" t="s">
        <v>407</v>
      </c>
      <c r="D142" s="6" t="s">
        <v>621</v>
      </c>
      <c r="E142" s="6" t="s">
        <v>65</v>
      </c>
      <c r="F142" s="6" t="s">
        <v>65</v>
      </c>
      <c r="G142" s="9" t="s">
        <v>628</v>
      </c>
      <c r="H142" s="9" t="s">
        <v>410</v>
      </c>
      <c r="I142" s="9" t="s">
        <v>411</v>
      </c>
      <c r="J142" s="9" t="s">
        <v>412</v>
      </c>
      <c r="K142" s="9" t="s">
        <v>413</v>
      </c>
      <c r="L142" s="9" t="s">
        <v>414</v>
      </c>
      <c r="M142" s="12" t="s">
        <v>71</v>
      </c>
      <c r="N142" s="12" t="s">
        <v>415</v>
      </c>
      <c r="O142" s="12" t="s">
        <v>416</v>
      </c>
      <c r="P142" s="12" t="s">
        <v>417</v>
      </c>
      <c r="Q142" s="12"/>
      <c r="R142" s="12" t="s">
        <v>418</v>
      </c>
      <c r="S142" s="12" t="s">
        <v>30</v>
      </c>
      <c r="T142" s="6" t="s">
        <v>419</v>
      </c>
      <c r="U142" s="6" t="s">
        <v>629</v>
      </c>
      <c r="V142" s="6" t="s">
        <v>421</v>
      </c>
    </row>
    <row r="143" spans="1:22" ht="22.5" customHeight="1" x14ac:dyDescent="0.25">
      <c r="A143" s="6" t="s">
        <v>630</v>
      </c>
      <c r="B143" s="6" t="s">
        <v>63</v>
      </c>
      <c r="C143" s="6" t="s">
        <v>423</v>
      </c>
      <c r="D143" s="6" t="s">
        <v>621</v>
      </c>
      <c r="E143" s="6" t="s">
        <v>65</v>
      </c>
      <c r="F143" s="6" t="s">
        <v>65</v>
      </c>
      <c r="G143" s="9" t="s">
        <v>631</v>
      </c>
      <c r="H143" s="9" t="s">
        <v>425</v>
      </c>
      <c r="I143" s="9" t="s">
        <v>426</v>
      </c>
      <c r="J143" s="9" t="s">
        <v>427</v>
      </c>
      <c r="K143" s="9" t="s">
        <v>413</v>
      </c>
      <c r="L143" s="9"/>
      <c r="M143" s="12" t="s">
        <v>113</v>
      </c>
      <c r="N143" s="12" t="s">
        <v>428</v>
      </c>
      <c r="O143" s="12" t="s">
        <v>429</v>
      </c>
      <c r="P143" s="12" t="s">
        <v>430</v>
      </c>
      <c r="Q143" s="12"/>
      <c r="R143" s="12" t="s">
        <v>431</v>
      </c>
      <c r="S143" s="12" t="s">
        <v>30</v>
      </c>
      <c r="T143" s="6" t="s">
        <v>432</v>
      </c>
      <c r="U143" s="6" t="s">
        <v>632</v>
      </c>
      <c r="V143" s="6" t="s">
        <v>434</v>
      </c>
    </row>
    <row r="144" spans="1:22" ht="22.5" customHeight="1" x14ac:dyDescent="0.25">
      <c r="A144" s="6" t="s">
        <v>633</v>
      </c>
      <c r="B144" s="6" t="s">
        <v>63</v>
      </c>
      <c r="C144" s="6" t="s">
        <v>407</v>
      </c>
      <c r="D144" s="6" t="s">
        <v>621</v>
      </c>
      <c r="E144" s="6" t="s">
        <v>65</v>
      </c>
      <c r="F144" s="6" t="s">
        <v>65</v>
      </c>
      <c r="G144" s="9" t="s">
        <v>634</v>
      </c>
      <c r="H144" s="9" t="s">
        <v>410</v>
      </c>
      <c r="I144" s="9" t="s">
        <v>411</v>
      </c>
      <c r="J144" s="9" t="s">
        <v>412</v>
      </c>
      <c r="K144" s="9" t="s">
        <v>413</v>
      </c>
      <c r="L144" s="9" t="s">
        <v>414</v>
      </c>
      <c r="M144" s="12" t="s">
        <v>71</v>
      </c>
      <c r="N144" s="12" t="s">
        <v>415</v>
      </c>
      <c r="O144" s="12" t="s">
        <v>416</v>
      </c>
      <c r="P144" s="12" t="s">
        <v>417</v>
      </c>
      <c r="Q144" s="12"/>
      <c r="R144" s="12" t="s">
        <v>418</v>
      </c>
      <c r="S144" s="12" t="s">
        <v>30</v>
      </c>
      <c r="T144" s="6" t="s">
        <v>419</v>
      </c>
      <c r="U144" s="6" t="s">
        <v>635</v>
      </c>
      <c r="V144" s="6" t="s">
        <v>421</v>
      </c>
    </row>
    <row r="145" spans="1:22" ht="22.5" customHeight="1" x14ac:dyDescent="0.25">
      <c r="A145" s="6" t="s">
        <v>636</v>
      </c>
      <c r="B145" s="6" t="s">
        <v>63</v>
      </c>
      <c r="C145" s="6" t="s">
        <v>423</v>
      </c>
      <c r="D145" s="6" t="s">
        <v>621</v>
      </c>
      <c r="E145" s="6" t="s">
        <v>65</v>
      </c>
      <c r="F145" s="6" t="s">
        <v>65</v>
      </c>
      <c r="G145" s="9" t="s">
        <v>637</v>
      </c>
      <c r="H145" s="9" t="s">
        <v>425</v>
      </c>
      <c r="I145" s="9" t="s">
        <v>426</v>
      </c>
      <c r="J145" s="9" t="s">
        <v>427</v>
      </c>
      <c r="K145" s="9" t="s">
        <v>413</v>
      </c>
      <c r="L145" s="9"/>
      <c r="M145" s="12" t="s">
        <v>113</v>
      </c>
      <c r="N145" s="12" t="s">
        <v>428</v>
      </c>
      <c r="O145" s="12" t="s">
        <v>429</v>
      </c>
      <c r="P145" s="12" t="s">
        <v>430</v>
      </c>
      <c r="Q145" s="12"/>
      <c r="R145" s="12" t="s">
        <v>431</v>
      </c>
      <c r="S145" s="12" t="s">
        <v>30</v>
      </c>
      <c r="T145" s="6" t="s">
        <v>432</v>
      </c>
      <c r="U145" s="6" t="s">
        <v>638</v>
      </c>
      <c r="V145" s="6" t="s">
        <v>434</v>
      </c>
    </row>
    <row r="146" spans="1:22" ht="22.5" customHeight="1" x14ac:dyDescent="0.25">
      <c r="A146" s="6" t="s">
        <v>639</v>
      </c>
      <c r="B146" s="6" t="s">
        <v>63</v>
      </c>
      <c r="C146" s="6" t="s">
        <v>407</v>
      </c>
      <c r="D146" s="6" t="s">
        <v>621</v>
      </c>
      <c r="E146" s="6" t="s">
        <v>65</v>
      </c>
      <c r="F146" s="6" t="s">
        <v>65</v>
      </c>
      <c r="G146" s="9" t="s">
        <v>640</v>
      </c>
      <c r="H146" s="9" t="s">
        <v>410</v>
      </c>
      <c r="I146" s="9" t="s">
        <v>411</v>
      </c>
      <c r="J146" s="9" t="s">
        <v>412</v>
      </c>
      <c r="K146" s="9" t="s">
        <v>413</v>
      </c>
      <c r="L146" s="9" t="s">
        <v>414</v>
      </c>
      <c r="M146" s="12" t="s">
        <v>71</v>
      </c>
      <c r="N146" s="12" t="s">
        <v>415</v>
      </c>
      <c r="O146" s="12" t="s">
        <v>416</v>
      </c>
      <c r="P146" s="12" t="s">
        <v>417</v>
      </c>
      <c r="Q146" s="12"/>
      <c r="R146" s="12" t="s">
        <v>418</v>
      </c>
      <c r="S146" s="12" t="s">
        <v>30</v>
      </c>
      <c r="T146" s="6" t="s">
        <v>419</v>
      </c>
      <c r="U146" s="6" t="s">
        <v>641</v>
      </c>
      <c r="V146" s="6" t="s">
        <v>421</v>
      </c>
    </row>
    <row r="147" spans="1:22" ht="22.5" customHeight="1" x14ac:dyDescent="0.25">
      <c r="A147" s="6" t="s">
        <v>642</v>
      </c>
      <c r="B147" s="6" t="s">
        <v>63</v>
      </c>
      <c r="C147" s="6" t="s">
        <v>423</v>
      </c>
      <c r="D147" s="6" t="s">
        <v>621</v>
      </c>
      <c r="E147" s="6" t="s">
        <v>65</v>
      </c>
      <c r="F147" s="6" t="s">
        <v>439</v>
      </c>
      <c r="G147" s="9" t="s">
        <v>643</v>
      </c>
      <c r="H147" s="9" t="s">
        <v>425</v>
      </c>
      <c r="I147" s="9" t="s">
        <v>426</v>
      </c>
      <c r="J147" s="9" t="s">
        <v>427</v>
      </c>
      <c r="K147" s="9" t="s">
        <v>413</v>
      </c>
      <c r="L147" s="9"/>
      <c r="M147" s="12" t="s">
        <v>113</v>
      </c>
      <c r="N147" s="12" t="s">
        <v>428</v>
      </c>
      <c r="O147" s="12" t="s">
        <v>429</v>
      </c>
      <c r="P147" s="12" t="s">
        <v>430</v>
      </c>
      <c r="Q147" s="12"/>
      <c r="R147" s="12" t="s">
        <v>431</v>
      </c>
      <c r="S147" s="12" t="s">
        <v>30</v>
      </c>
      <c r="T147" s="6" t="s">
        <v>432</v>
      </c>
      <c r="U147" s="6" t="s">
        <v>644</v>
      </c>
      <c r="V147" s="6" t="s">
        <v>434</v>
      </c>
    </row>
    <row r="148" spans="1:22" ht="22.5" customHeight="1" x14ac:dyDescent="0.25">
      <c r="A148" s="6" t="s">
        <v>645</v>
      </c>
      <c r="B148" s="6" t="s">
        <v>63</v>
      </c>
      <c r="C148" s="6" t="s">
        <v>423</v>
      </c>
      <c r="D148" s="6" t="s">
        <v>621</v>
      </c>
      <c r="E148" s="6" t="s">
        <v>65</v>
      </c>
      <c r="F148" s="6" t="s">
        <v>439</v>
      </c>
      <c r="G148" s="9" t="s">
        <v>646</v>
      </c>
      <c r="H148" s="9" t="s">
        <v>425</v>
      </c>
      <c r="I148" s="9" t="s">
        <v>426</v>
      </c>
      <c r="J148" s="9" t="s">
        <v>427</v>
      </c>
      <c r="K148" s="9" t="s">
        <v>413</v>
      </c>
      <c r="L148" s="9"/>
      <c r="M148" s="12" t="s">
        <v>113</v>
      </c>
      <c r="N148" s="12" t="s">
        <v>428</v>
      </c>
      <c r="O148" s="12" t="s">
        <v>429</v>
      </c>
      <c r="P148" s="12" t="s">
        <v>430</v>
      </c>
      <c r="Q148" s="12"/>
      <c r="R148" s="12" t="s">
        <v>431</v>
      </c>
      <c r="S148" s="12" t="s">
        <v>30</v>
      </c>
      <c r="T148" s="6" t="s">
        <v>432</v>
      </c>
      <c r="U148" s="6" t="s">
        <v>647</v>
      </c>
      <c r="V148" s="6" t="s">
        <v>434</v>
      </c>
    </row>
    <row r="149" spans="1:22" ht="22.5" customHeight="1" x14ac:dyDescent="0.25">
      <c r="A149" s="6" t="s">
        <v>648</v>
      </c>
      <c r="B149" s="6" t="s">
        <v>63</v>
      </c>
      <c r="C149" s="6" t="s">
        <v>407</v>
      </c>
      <c r="D149" s="6" t="s">
        <v>621</v>
      </c>
      <c r="E149" s="6" t="s">
        <v>65</v>
      </c>
      <c r="F149" s="6" t="s">
        <v>65</v>
      </c>
      <c r="G149" s="9" t="s">
        <v>649</v>
      </c>
      <c r="H149" s="9" t="s">
        <v>410</v>
      </c>
      <c r="I149" s="9" t="s">
        <v>411</v>
      </c>
      <c r="J149" s="9" t="s">
        <v>412</v>
      </c>
      <c r="K149" s="9" t="s">
        <v>413</v>
      </c>
      <c r="L149" s="9" t="s">
        <v>414</v>
      </c>
      <c r="M149" s="12" t="s">
        <v>71</v>
      </c>
      <c r="N149" s="12" t="s">
        <v>415</v>
      </c>
      <c r="O149" s="12" t="s">
        <v>416</v>
      </c>
      <c r="P149" s="12" t="s">
        <v>417</v>
      </c>
      <c r="Q149" s="12"/>
      <c r="R149" s="12" t="s">
        <v>418</v>
      </c>
      <c r="S149" s="12" t="s">
        <v>30</v>
      </c>
      <c r="T149" s="6" t="s">
        <v>447</v>
      </c>
      <c r="U149" s="6" t="s">
        <v>650</v>
      </c>
      <c r="V149" s="6" t="s">
        <v>421</v>
      </c>
    </row>
    <row r="150" spans="1:22" ht="22.5" customHeight="1" x14ac:dyDescent="0.25">
      <c r="A150" s="6" t="s">
        <v>651</v>
      </c>
      <c r="B150" s="6" t="s">
        <v>63</v>
      </c>
      <c r="C150" s="6" t="s">
        <v>407</v>
      </c>
      <c r="D150" s="6" t="s">
        <v>652</v>
      </c>
      <c r="E150" s="6" t="s">
        <v>65</v>
      </c>
      <c r="F150" s="6" t="s">
        <v>65</v>
      </c>
      <c r="G150" s="9" t="s">
        <v>653</v>
      </c>
      <c r="H150" s="9" t="s">
        <v>410</v>
      </c>
      <c r="I150" s="9" t="s">
        <v>411</v>
      </c>
      <c r="J150" s="9" t="s">
        <v>412</v>
      </c>
      <c r="K150" s="9" t="s">
        <v>413</v>
      </c>
      <c r="L150" s="9" t="s">
        <v>414</v>
      </c>
      <c r="M150" s="12" t="s">
        <v>71</v>
      </c>
      <c r="N150" s="12" t="s">
        <v>415</v>
      </c>
      <c r="O150" s="12" t="s">
        <v>416</v>
      </c>
      <c r="P150" s="12" t="s">
        <v>417</v>
      </c>
      <c r="Q150" s="12"/>
      <c r="R150" s="12" t="s">
        <v>418</v>
      </c>
      <c r="S150" s="12" t="s">
        <v>30</v>
      </c>
      <c r="T150" s="6" t="s">
        <v>419</v>
      </c>
      <c r="U150" s="6" t="s">
        <v>654</v>
      </c>
      <c r="V150" s="6" t="s">
        <v>421</v>
      </c>
    </row>
    <row r="151" spans="1:22" ht="22.5" customHeight="1" x14ac:dyDescent="0.25">
      <c r="A151" s="6" t="s">
        <v>655</v>
      </c>
      <c r="B151" s="6" t="s">
        <v>63</v>
      </c>
      <c r="C151" s="6" t="s">
        <v>423</v>
      </c>
      <c r="D151" s="6" t="s">
        <v>652</v>
      </c>
      <c r="E151" s="6" t="s">
        <v>65</v>
      </c>
      <c r="F151" s="6" t="s">
        <v>65</v>
      </c>
      <c r="G151" s="9" t="s">
        <v>656</v>
      </c>
      <c r="H151" s="9" t="s">
        <v>425</v>
      </c>
      <c r="I151" s="9" t="s">
        <v>426</v>
      </c>
      <c r="J151" s="9" t="s">
        <v>427</v>
      </c>
      <c r="K151" s="9" t="s">
        <v>413</v>
      </c>
      <c r="L151" s="9"/>
      <c r="M151" s="12" t="s">
        <v>113</v>
      </c>
      <c r="N151" s="12" t="s">
        <v>428</v>
      </c>
      <c r="O151" s="12" t="s">
        <v>429</v>
      </c>
      <c r="P151" s="12" t="s">
        <v>430</v>
      </c>
      <c r="Q151" s="12"/>
      <c r="R151" s="12" t="s">
        <v>431</v>
      </c>
      <c r="S151" s="12" t="s">
        <v>30</v>
      </c>
      <c r="T151" s="6" t="s">
        <v>432</v>
      </c>
      <c r="U151" s="6" t="s">
        <v>657</v>
      </c>
      <c r="V151" s="6" t="s">
        <v>434</v>
      </c>
    </row>
    <row r="152" spans="1:22" ht="22.5" customHeight="1" x14ac:dyDescent="0.25">
      <c r="A152" s="6" t="s">
        <v>658</v>
      </c>
      <c r="B152" s="6" t="s">
        <v>63</v>
      </c>
      <c r="C152" s="6" t="s">
        <v>423</v>
      </c>
      <c r="D152" s="6" t="s">
        <v>652</v>
      </c>
      <c r="E152" s="6" t="s">
        <v>65</v>
      </c>
      <c r="F152" s="6" t="s">
        <v>439</v>
      </c>
      <c r="G152" s="9" t="s">
        <v>659</v>
      </c>
      <c r="H152" s="9" t="s">
        <v>425</v>
      </c>
      <c r="I152" s="9" t="s">
        <v>426</v>
      </c>
      <c r="J152" s="9" t="s">
        <v>427</v>
      </c>
      <c r="K152" s="9" t="s">
        <v>413</v>
      </c>
      <c r="L152" s="9"/>
      <c r="M152" s="12" t="s">
        <v>113</v>
      </c>
      <c r="N152" s="12" t="s">
        <v>428</v>
      </c>
      <c r="O152" s="12" t="s">
        <v>429</v>
      </c>
      <c r="P152" s="12" t="s">
        <v>430</v>
      </c>
      <c r="Q152" s="12"/>
      <c r="R152" s="12" t="s">
        <v>431</v>
      </c>
      <c r="S152" s="12" t="s">
        <v>30</v>
      </c>
      <c r="T152" s="6" t="s">
        <v>432</v>
      </c>
      <c r="U152" s="6" t="s">
        <v>660</v>
      </c>
      <c r="V152" s="6" t="s">
        <v>434</v>
      </c>
    </row>
    <row r="153" spans="1:22" ht="22.5" customHeight="1" x14ac:dyDescent="0.25">
      <c r="A153" s="6" t="s">
        <v>661</v>
      </c>
      <c r="B153" s="6" t="s">
        <v>63</v>
      </c>
      <c r="C153" s="6" t="s">
        <v>423</v>
      </c>
      <c r="D153" s="6" t="s">
        <v>652</v>
      </c>
      <c r="E153" s="6" t="s">
        <v>65</v>
      </c>
      <c r="F153" s="6" t="s">
        <v>65</v>
      </c>
      <c r="G153" s="9" t="s">
        <v>662</v>
      </c>
      <c r="H153" s="9" t="s">
        <v>425</v>
      </c>
      <c r="I153" s="9" t="s">
        <v>426</v>
      </c>
      <c r="J153" s="9" t="s">
        <v>427</v>
      </c>
      <c r="K153" s="9" t="s">
        <v>413</v>
      </c>
      <c r="L153" s="9"/>
      <c r="M153" s="12" t="s">
        <v>113</v>
      </c>
      <c r="N153" s="12" t="s">
        <v>428</v>
      </c>
      <c r="O153" s="12" t="s">
        <v>429</v>
      </c>
      <c r="P153" s="12" t="s">
        <v>430</v>
      </c>
      <c r="Q153" s="12"/>
      <c r="R153" s="12" t="s">
        <v>431</v>
      </c>
      <c r="S153" s="12" t="s">
        <v>30</v>
      </c>
      <c r="T153" s="6" t="s">
        <v>432</v>
      </c>
      <c r="U153" s="6" t="s">
        <v>663</v>
      </c>
      <c r="V153" s="6" t="s">
        <v>434</v>
      </c>
    </row>
    <row r="154" spans="1:22" ht="22.5" customHeight="1" x14ac:dyDescent="0.25">
      <c r="A154" s="6" t="s">
        <v>664</v>
      </c>
      <c r="B154" s="6" t="s">
        <v>63</v>
      </c>
      <c r="C154" s="6" t="s">
        <v>407</v>
      </c>
      <c r="D154" s="6" t="s">
        <v>652</v>
      </c>
      <c r="E154" s="6" t="s">
        <v>65</v>
      </c>
      <c r="F154" s="6" t="s">
        <v>65</v>
      </c>
      <c r="G154" s="9" t="s">
        <v>665</v>
      </c>
      <c r="H154" s="9" t="s">
        <v>410</v>
      </c>
      <c r="I154" s="9" t="s">
        <v>411</v>
      </c>
      <c r="J154" s="9" t="s">
        <v>412</v>
      </c>
      <c r="K154" s="9" t="s">
        <v>413</v>
      </c>
      <c r="L154" s="9" t="s">
        <v>414</v>
      </c>
      <c r="M154" s="12" t="s">
        <v>71</v>
      </c>
      <c r="N154" s="12" t="s">
        <v>415</v>
      </c>
      <c r="O154" s="12" t="s">
        <v>416</v>
      </c>
      <c r="P154" s="12" t="s">
        <v>417</v>
      </c>
      <c r="Q154" s="12"/>
      <c r="R154" s="12" t="s">
        <v>418</v>
      </c>
      <c r="S154" s="12" t="s">
        <v>30</v>
      </c>
      <c r="T154" s="6" t="s">
        <v>419</v>
      </c>
      <c r="U154" s="6" t="s">
        <v>666</v>
      </c>
      <c r="V154" s="6" t="s">
        <v>421</v>
      </c>
    </row>
    <row r="155" spans="1:22" ht="22.5" customHeight="1" x14ac:dyDescent="0.25">
      <c r="A155" s="6" t="s">
        <v>667</v>
      </c>
      <c r="B155" s="6" t="s">
        <v>63</v>
      </c>
      <c r="C155" s="6" t="s">
        <v>423</v>
      </c>
      <c r="D155" s="6" t="s">
        <v>652</v>
      </c>
      <c r="E155" s="6" t="s">
        <v>65</v>
      </c>
      <c r="F155" s="6" t="s">
        <v>65</v>
      </c>
      <c r="G155" s="9" t="s">
        <v>668</v>
      </c>
      <c r="H155" s="9" t="s">
        <v>425</v>
      </c>
      <c r="I155" s="9" t="s">
        <v>426</v>
      </c>
      <c r="J155" s="9" t="s">
        <v>427</v>
      </c>
      <c r="K155" s="9" t="s">
        <v>413</v>
      </c>
      <c r="L155" s="9"/>
      <c r="M155" s="12" t="s">
        <v>113</v>
      </c>
      <c r="N155" s="12" t="s">
        <v>428</v>
      </c>
      <c r="O155" s="12" t="s">
        <v>429</v>
      </c>
      <c r="P155" s="12" t="s">
        <v>430</v>
      </c>
      <c r="Q155" s="12"/>
      <c r="R155" s="12" t="s">
        <v>431</v>
      </c>
      <c r="S155" s="12" t="s">
        <v>30</v>
      </c>
      <c r="T155" s="6" t="s">
        <v>432</v>
      </c>
      <c r="U155" s="6" t="s">
        <v>669</v>
      </c>
      <c r="V155" s="6" t="s">
        <v>434</v>
      </c>
    </row>
    <row r="156" spans="1:22" ht="22.5" customHeight="1" x14ac:dyDescent="0.25">
      <c r="A156" s="6" t="s">
        <v>670</v>
      </c>
      <c r="B156" s="6" t="s">
        <v>63</v>
      </c>
      <c r="C156" s="6" t="s">
        <v>423</v>
      </c>
      <c r="D156" s="6" t="s">
        <v>652</v>
      </c>
      <c r="E156" s="6" t="s">
        <v>65</v>
      </c>
      <c r="F156" s="6" t="s">
        <v>65</v>
      </c>
      <c r="G156" s="9" t="s">
        <v>671</v>
      </c>
      <c r="H156" s="9" t="s">
        <v>425</v>
      </c>
      <c r="I156" s="9" t="s">
        <v>426</v>
      </c>
      <c r="J156" s="9" t="s">
        <v>427</v>
      </c>
      <c r="K156" s="9" t="s">
        <v>413</v>
      </c>
      <c r="L156" s="9"/>
      <c r="M156" s="12" t="s">
        <v>113</v>
      </c>
      <c r="N156" s="12" t="s">
        <v>428</v>
      </c>
      <c r="O156" s="12" t="s">
        <v>429</v>
      </c>
      <c r="P156" s="12" t="s">
        <v>430</v>
      </c>
      <c r="Q156" s="12"/>
      <c r="R156" s="12" t="s">
        <v>431</v>
      </c>
      <c r="S156" s="12" t="s">
        <v>30</v>
      </c>
      <c r="T156" s="6" t="s">
        <v>432</v>
      </c>
      <c r="U156" s="6" t="s">
        <v>672</v>
      </c>
      <c r="V156" s="6" t="s">
        <v>434</v>
      </c>
    </row>
    <row r="157" spans="1:22" ht="22.5" customHeight="1" x14ac:dyDescent="0.25">
      <c r="A157" s="6" t="s">
        <v>673</v>
      </c>
      <c r="B157" s="6" t="s">
        <v>63</v>
      </c>
      <c r="C157" s="6" t="s">
        <v>407</v>
      </c>
      <c r="D157" s="6" t="s">
        <v>652</v>
      </c>
      <c r="E157" s="6" t="s">
        <v>65</v>
      </c>
      <c r="F157" s="6" t="s">
        <v>65</v>
      </c>
      <c r="G157" s="9" t="s">
        <v>674</v>
      </c>
      <c r="H157" s="9" t="s">
        <v>410</v>
      </c>
      <c r="I157" s="9" t="s">
        <v>411</v>
      </c>
      <c r="J157" s="9" t="s">
        <v>412</v>
      </c>
      <c r="K157" s="9" t="s">
        <v>413</v>
      </c>
      <c r="L157" s="9" t="s">
        <v>414</v>
      </c>
      <c r="M157" s="12" t="s">
        <v>71</v>
      </c>
      <c r="N157" s="12" t="s">
        <v>415</v>
      </c>
      <c r="O157" s="12" t="s">
        <v>416</v>
      </c>
      <c r="P157" s="12" t="s">
        <v>417</v>
      </c>
      <c r="Q157" s="12"/>
      <c r="R157" s="12" t="s">
        <v>418</v>
      </c>
      <c r="S157" s="12" t="s">
        <v>30</v>
      </c>
      <c r="T157" s="6" t="s">
        <v>419</v>
      </c>
      <c r="U157" s="6" t="s">
        <v>675</v>
      </c>
      <c r="V157" s="6" t="s">
        <v>421</v>
      </c>
    </row>
    <row r="158" spans="1:22" ht="22.5" customHeight="1" x14ac:dyDescent="0.25">
      <c r="A158" s="6" t="s">
        <v>676</v>
      </c>
      <c r="B158" s="6" t="s">
        <v>63</v>
      </c>
      <c r="C158" s="6" t="s">
        <v>423</v>
      </c>
      <c r="D158" s="6" t="s">
        <v>652</v>
      </c>
      <c r="E158" s="6" t="s">
        <v>65</v>
      </c>
      <c r="F158" s="6" t="s">
        <v>65</v>
      </c>
      <c r="G158" s="9" t="s">
        <v>677</v>
      </c>
      <c r="H158" s="9" t="s">
        <v>425</v>
      </c>
      <c r="I158" s="9" t="s">
        <v>426</v>
      </c>
      <c r="J158" s="9" t="s">
        <v>427</v>
      </c>
      <c r="K158" s="9" t="s">
        <v>413</v>
      </c>
      <c r="L158" s="9"/>
      <c r="M158" s="12" t="s">
        <v>113</v>
      </c>
      <c r="N158" s="12" t="s">
        <v>428</v>
      </c>
      <c r="O158" s="12" t="s">
        <v>429</v>
      </c>
      <c r="P158" s="12" t="s">
        <v>430</v>
      </c>
      <c r="Q158" s="12"/>
      <c r="R158" s="12" t="s">
        <v>431</v>
      </c>
      <c r="S158" s="12" t="s">
        <v>30</v>
      </c>
      <c r="T158" s="6" t="s">
        <v>432</v>
      </c>
      <c r="U158" s="6" t="s">
        <v>678</v>
      </c>
      <c r="V158" s="6" t="s">
        <v>434</v>
      </c>
    </row>
    <row r="159" spans="1:22" ht="22.5" customHeight="1" x14ac:dyDescent="0.25">
      <c r="A159" s="6" t="s">
        <v>679</v>
      </c>
      <c r="B159" s="6" t="s">
        <v>63</v>
      </c>
      <c r="C159" s="6" t="s">
        <v>407</v>
      </c>
      <c r="D159" s="6" t="s">
        <v>652</v>
      </c>
      <c r="E159" s="6" t="s">
        <v>65</v>
      </c>
      <c r="F159" s="6" t="s">
        <v>65</v>
      </c>
      <c r="G159" s="9" t="s">
        <v>680</v>
      </c>
      <c r="H159" s="9" t="s">
        <v>410</v>
      </c>
      <c r="I159" s="9" t="s">
        <v>411</v>
      </c>
      <c r="J159" s="9" t="s">
        <v>412</v>
      </c>
      <c r="K159" s="9" t="s">
        <v>413</v>
      </c>
      <c r="L159" s="9" t="s">
        <v>414</v>
      </c>
      <c r="M159" s="12" t="s">
        <v>71</v>
      </c>
      <c r="N159" s="12" t="s">
        <v>415</v>
      </c>
      <c r="O159" s="12" t="s">
        <v>416</v>
      </c>
      <c r="P159" s="12" t="s">
        <v>417</v>
      </c>
      <c r="Q159" s="12"/>
      <c r="R159" s="12" t="s">
        <v>418</v>
      </c>
      <c r="S159" s="12" t="s">
        <v>30</v>
      </c>
      <c r="T159" s="6" t="s">
        <v>419</v>
      </c>
      <c r="U159" s="6" t="s">
        <v>681</v>
      </c>
      <c r="V159" s="6" t="s">
        <v>421</v>
      </c>
    </row>
    <row r="160" spans="1:22" ht="22.5" customHeight="1" x14ac:dyDescent="0.25">
      <c r="A160" s="6" t="s">
        <v>682</v>
      </c>
      <c r="B160" s="6" t="s">
        <v>63</v>
      </c>
      <c r="C160" s="6" t="s">
        <v>423</v>
      </c>
      <c r="D160" s="6" t="s">
        <v>652</v>
      </c>
      <c r="E160" s="6" t="s">
        <v>65</v>
      </c>
      <c r="F160" s="6" t="s">
        <v>439</v>
      </c>
      <c r="G160" s="9" t="s">
        <v>683</v>
      </c>
      <c r="H160" s="9" t="s">
        <v>425</v>
      </c>
      <c r="I160" s="9" t="s">
        <v>426</v>
      </c>
      <c r="J160" s="9" t="s">
        <v>427</v>
      </c>
      <c r="K160" s="9" t="s">
        <v>413</v>
      </c>
      <c r="L160" s="9"/>
      <c r="M160" s="12" t="s">
        <v>113</v>
      </c>
      <c r="N160" s="12" t="s">
        <v>428</v>
      </c>
      <c r="O160" s="12" t="s">
        <v>429</v>
      </c>
      <c r="P160" s="12" t="s">
        <v>430</v>
      </c>
      <c r="Q160" s="12"/>
      <c r="R160" s="12" t="s">
        <v>431</v>
      </c>
      <c r="S160" s="12" t="s">
        <v>30</v>
      </c>
      <c r="T160" s="6" t="s">
        <v>432</v>
      </c>
      <c r="U160" s="6" t="s">
        <v>684</v>
      </c>
      <c r="V160" s="6" t="s">
        <v>434</v>
      </c>
    </row>
    <row r="161" spans="1:22" ht="22.5" customHeight="1" x14ac:dyDescent="0.25">
      <c r="A161" s="6" t="s">
        <v>685</v>
      </c>
      <c r="B161" s="6" t="s">
        <v>63</v>
      </c>
      <c r="C161" s="6" t="s">
        <v>423</v>
      </c>
      <c r="D161" s="6" t="s">
        <v>652</v>
      </c>
      <c r="E161" s="6" t="s">
        <v>65</v>
      </c>
      <c r="F161" s="6" t="s">
        <v>439</v>
      </c>
      <c r="G161" s="9" t="s">
        <v>686</v>
      </c>
      <c r="H161" s="9" t="s">
        <v>425</v>
      </c>
      <c r="I161" s="9" t="s">
        <v>426</v>
      </c>
      <c r="J161" s="9" t="s">
        <v>427</v>
      </c>
      <c r="K161" s="9" t="s">
        <v>413</v>
      </c>
      <c r="L161" s="9"/>
      <c r="M161" s="12" t="s">
        <v>113</v>
      </c>
      <c r="N161" s="12" t="s">
        <v>428</v>
      </c>
      <c r="O161" s="12" t="s">
        <v>429</v>
      </c>
      <c r="P161" s="12" t="s">
        <v>430</v>
      </c>
      <c r="Q161" s="12"/>
      <c r="R161" s="12" t="s">
        <v>431</v>
      </c>
      <c r="S161" s="12" t="s">
        <v>30</v>
      </c>
      <c r="T161" s="6" t="s">
        <v>432</v>
      </c>
      <c r="U161" s="6" t="s">
        <v>687</v>
      </c>
      <c r="V161" s="6" t="s">
        <v>434</v>
      </c>
    </row>
    <row r="162" spans="1:22" ht="22.5" customHeight="1" x14ac:dyDescent="0.25">
      <c r="A162" s="6" t="s">
        <v>688</v>
      </c>
      <c r="B162" s="6" t="s">
        <v>63</v>
      </c>
      <c r="C162" s="6" t="s">
        <v>407</v>
      </c>
      <c r="D162" s="6" t="s">
        <v>689</v>
      </c>
      <c r="E162" s="6" t="s">
        <v>65</v>
      </c>
      <c r="F162" s="6" t="s">
        <v>65</v>
      </c>
      <c r="G162" s="9" t="s">
        <v>690</v>
      </c>
      <c r="H162" s="9" t="s">
        <v>410</v>
      </c>
      <c r="I162" s="9" t="s">
        <v>411</v>
      </c>
      <c r="J162" s="9" t="s">
        <v>412</v>
      </c>
      <c r="K162" s="9" t="s">
        <v>413</v>
      </c>
      <c r="L162" s="9" t="s">
        <v>414</v>
      </c>
      <c r="M162" s="12" t="s">
        <v>71</v>
      </c>
      <c r="N162" s="12" t="s">
        <v>415</v>
      </c>
      <c r="O162" s="12" t="s">
        <v>416</v>
      </c>
      <c r="P162" s="12" t="s">
        <v>417</v>
      </c>
      <c r="Q162" s="12"/>
      <c r="R162" s="12" t="s">
        <v>418</v>
      </c>
      <c r="S162" s="12" t="s">
        <v>30</v>
      </c>
      <c r="T162" s="6" t="s">
        <v>419</v>
      </c>
      <c r="U162" s="6" t="s">
        <v>691</v>
      </c>
      <c r="V162" s="6" t="s">
        <v>421</v>
      </c>
    </row>
    <row r="163" spans="1:22" ht="22.5" customHeight="1" x14ac:dyDescent="0.25">
      <c r="A163" s="6" t="s">
        <v>692</v>
      </c>
      <c r="B163" s="6" t="s">
        <v>63</v>
      </c>
      <c r="C163" s="6" t="s">
        <v>423</v>
      </c>
      <c r="D163" s="6" t="s">
        <v>689</v>
      </c>
      <c r="E163" s="6" t="s">
        <v>65</v>
      </c>
      <c r="F163" s="6" t="s">
        <v>65</v>
      </c>
      <c r="G163" s="9" t="s">
        <v>693</v>
      </c>
      <c r="H163" s="9" t="s">
        <v>425</v>
      </c>
      <c r="I163" s="9" t="s">
        <v>426</v>
      </c>
      <c r="J163" s="9" t="s">
        <v>427</v>
      </c>
      <c r="K163" s="9" t="s">
        <v>413</v>
      </c>
      <c r="L163" s="9"/>
      <c r="M163" s="12" t="s">
        <v>113</v>
      </c>
      <c r="N163" s="12" t="s">
        <v>428</v>
      </c>
      <c r="O163" s="12" t="s">
        <v>429</v>
      </c>
      <c r="P163" s="12" t="s">
        <v>430</v>
      </c>
      <c r="Q163" s="12"/>
      <c r="R163" s="12" t="s">
        <v>431</v>
      </c>
      <c r="S163" s="12" t="s">
        <v>30</v>
      </c>
      <c r="T163" s="6" t="s">
        <v>432</v>
      </c>
      <c r="U163" s="6" t="s">
        <v>694</v>
      </c>
      <c r="V163" s="6" t="s">
        <v>434</v>
      </c>
    </row>
    <row r="164" spans="1:22" ht="22.5" customHeight="1" x14ac:dyDescent="0.25">
      <c r="A164" s="6" t="s">
        <v>695</v>
      </c>
      <c r="B164" s="6" t="s">
        <v>63</v>
      </c>
      <c r="C164" s="6" t="s">
        <v>407</v>
      </c>
      <c r="D164" s="6" t="s">
        <v>689</v>
      </c>
      <c r="E164" s="6" t="s">
        <v>65</v>
      </c>
      <c r="F164" s="6" t="s">
        <v>65</v>
      </c>
      <c r="G164" s="9" t="s">
        <v>696</v>
      </c>
      <c r="H164" s="9" t="s">
        <v>410</v>
      </c>
      <c r="I164" s="9" t="s">
        <v>411</v>
      </c>
      <c r="J164" s="9" t="s">
        <v>412</v>
      </c>
      <c r="K164" s="9" t="s">
        <v>413</v>
      </c>
      <c r="L164" s="9" t="s">
        <v>414</v>
      </c>
      <c r="M164" s="12" t="s">
        <v>71</v>
      </c>
      <c r="N164" s="12" t="s">
        <v>415</v>
      </c>
      <c r="O164" s="12" t="s">
        <v>416</v>
      </c>
      <c r="P164" s="12" t="s">
        <v>417</v>
      </c>
      <c r="Q164" s="12"/>
      <c r="R164" s="12" t="s">
        <v>418</v>
      </c>
      <c r="S164" s="12" t="s">
        <v>30</v>
      </c>
      <c r="T164" s="6" t="s">
        <v>419</v>
      </c>
      <c r="U164" s="6" t="s">
        <v>697</v>
      </c>
      <c r="V164" s="6" t="s">
        <v>421</v>
      </c>
    </row>
    <row r="165" spans="1:22" ht="22.5" customHeight="1" x14ac:dyDescent="0.25">
      <c r="A165" s="6" t="s">
        <v>698</v>
      </c>
      <c r="B165" s="6" t="s">
        <v>63</v>
      </c>
      <c r="C165" s="6" t="s">
        <v>423</v>
      </c>
      <c r="D165" s="6" t="s">
        <v>689</v>
      </c>
      <c r="E165" s="6" t="s">
        <v>65</v>
      </c>
      <c r="F165" s="6" t="s">
        <v>65</v>
      </c>
      <c r="G165" s="9" t="s">
        <v>699</v>
      </c>
      <c r="H165" s="9" t="s">
        <v>425</v>
      </c>
      <c r="I165" s="9" t="s">
        <v>426</v>
      </c>
      <c r="J165" s="9" t="s">
        <v>427</v>
      </c>
      <c r="K165" s="9" t="s">
        <v>413</v>
      </c>
      <c r="L165" s="9"/>
      <c r="M165" s="12" t="s">
        <v>113</v>
      </c>
      <c r="N165" s="12" t="s">
        <v>428</v>
      </c>
      <c r="O165" s="12" t="s">
        <v>429</v>
      </c>
      <c r="P165" s="12" t="s">
        <v>430</v>
      </c>
      <c r="Q165" s="12"/>
      <c r="R165" s="12" t="s">
        <v>431</v>
      </c>
      <c r="S165" s="12" t="s">
        <v>30</v>
      </c>
      <c r="T165" s="6" t="s">
        <v>432</v>
      </c>
      <c r="U165" s="6" t="s">
        <v>700</v>
      </c>
      <c r="V165" s="6" t="s">
        <v>434</v>
      </c>
    </row>
    <row r="166" spans="1:22" ht="22.5" customHeight="1" x14ac:dyDescent="0.25">
      <c r="A166" s="6" t="s">
        <v>701</v>
      </c>
      <c r="B166" s="6" t="s">
        <v>63</v>
      </c>
      <c r="C166" s="6" t="s">
        <v>423</v>
      </c>
      <c r="D166" s="6" t="s">
        <v>689</v>
      </c>
      <c r="E166" s="6" t="s">
        <v>65</v>
      </c>
      <c r="F166" s="6" t="s">
        <v>65</v>
      </c>
      <c r="G166" s="9" t="s">
        <v>702</v>
      </c>
      <c r="H166" s="9" t="s">
        <v>425</v>
      </c>
      <c r="I166" s="9" t="s">
        <v>426</v>
      </c>
      <c r="J166" s="9" t="s">
        <v>427</v>
      </c>
      <c r="K166" s="9" t="s">
        <v>413</v>
      </c>
      <c r="L166" s="9"/>
      <c r="M166" s="12" t="s">
        <v>113</v>
      </c>
      <c r="N166" s="12" t="s">
        <v>428</v>
      </c>
      <c r="O166" s="12" t="s">
        <v>429</v>
      </c>
      <c r="P166" s="12" t="s">
        <v>430</v>
      </c>
      <c r="Q166" s="12"/>
      <c r="R166" s="12" t="s">
        <v>431</v>
      </c>
      <c r="S166" s="12" t="s">
        <v>30</v>
      </c>
      <c r="T166" s="6" t="s">
        <v>432</v>
      </c>
      <c r="U166" s="6" t="s">
        <v>703</v>
      </c>
      <c r="V166" s="6" t="s">
        <v>434</v>
      </c>
    </row>
    <row r="167" spans="1:22" ht="22.5" customHeight="1" x14ac:dyDescent="0.25">
      <c r="A167" s="6" t="s">
        <v>704</v>
      </c>
      <c r="B167" s="6" t="s">
        <v>63</v>
      </c>
      <c r="C167" s="6" t="s">
        <v>407</v>
      </c>
      <c r="D167" s="6" t="s">
        <v>689</v>
      </c>
      <c r="E167" s="6" t="s">
        <v>65</v>
      </c>
      <c r="F167" s="6" t="s">
        <v>65</v>
      </c>
      <c r="G167" s="9" t="s">
        <v>705</v>
      </c>
      <c r="H167" s="9" t="s">
        <v>410</v>
      </c>
      <c r="I167" s="9" t="s">
        <v>411</v>
      </c>
      <c r="J167" s="9" t="s">
        <v>412</v>
      </c>
      <c r="K167" s="9" t="s">
        <v>413</v>
      </c>
      <c r="L167" s="9" t="s">
        <v>414</v>
      </c>
      <c r="M167" s="12" t="s">
        <v>71</v>
      </c>
      <c r="N167" s="12" t="s">
        <v>415</v>
      </c>
      <c r="O167" s="12" t="s">
        <v>416</v>
      </c>
      <c r="P167" s="12" t="s">
        <v>417</v>
      </c>
      <c r="Q167" s="12"/>
      <c r="R167" s="12" t="s">
        <v>418</v>
      </c>
      <c r="S167" s="12" t="s">
        <v>30</v>
      </c>
      <c r="T167" s="6" t="s">
        <v>419</v>
      </c>
      <c r="U167" s="6" t="s">
        <v>706</v>
      </c>
      <c r="V167" s="6" t="s">
        <v>421</v>
      </c>
    </row>
    <row r="168" spans="1:22" ht="22.5" customHeight="1" x14ac:dyDescent="0.25">
      <c r="A168" s="6" t="s">
        <v>707</v>
      </c>
      <c r="B168" s="6" t="s">
        <v>63</v>
      </c>
      <c r="C168" s="6" t="s">
        <v>423</v>
      </c>
      <c r="D168" s="6" t="s">
        <v>689</v>
      </c>
      <c r="E168" s="6" t="s">
        <v>65</v>
      </c>
      <c r="F168" s="6" t="s">
        <v>65</v>
      </c>
      <c r="G168" s="9" t="s">
        <v>708</v>
      </c>
      <c r="H168" s="9" t="s">
        <v>425</v>
      </c>
      <c r="I168" s="9" t="s">
        <v>426</v>
      </c>
      <c r="J168" s="9" t="s">
        <v>427</v>
      </c>
      <c r="K168" s="9" t="s">
        <v>413</v>
      </c>
      <c r="L168" s="9"/>
      <c r="M168" s="12" t="s">
        <v>113</v>
      </c>
      <c r="N168" s="12" t="s">
        <v>428</v>
      </c>
      <c r="O168" s="12" t="s">
        <v>429</v>
      </c>
      <c r="P168" s="12" t="s">
        <v>430</v>
      </c>
      <c r="Q168" s="12"/>
      <c r="R168" s="12" t="s">
        <v>431</v>
      </c>
      <c r="S168" s="12" t="s">
        <v>30</v>
      </c>
      <c r="T168" s="6" t="s">
        <v>432</v>
      </c>
      <c r="U168" s="6" t="s">
        <v>709</v>
      </c>
      <c r="V168" s="6" t="s">
        <v>434</v>
      </c>
    </row>
    <row r="169" spans="1:22" ht="22.5" customHeight="1" x14ac:dyDescent="0.25">
      <c r="A169" s="6" t="s">
        <v>710</v>
      </c>
      <c r="B169" s="6" t="s">
        <v>63</v>
      </c>
      <c r="C169" s="6" t="s">
        <v>407</v>
      </c>
      <c r="D169" s="6" t="s">
        <v>689</v>
      </c>
      <c r="E169" s="6" t="s">
        <v>65</v>
      </c>
      <c r="F169" s="6" t="s">
        <v>65</v>
      </c>
      <c r="G169" s="9" t="s">
        <v>711</v>
      </c>
      <c r="H169" s="9" t="s">
        <v>410</v>
      </c>
      <c r="I169" s="9" t="s">
        <v>411</v>
      </c>
      <c r="J169" s="9" t="s">
        <v>412</v>
      </c>
      <c r="K169" s="9" t="s">
        <v>413</v>
      </c>
      <c r="L169" s="9" t="s">
        <v>414</v>
      </c>
      <c r="M169" s="12" t="s">
        <v>71</v>
      </c>
      <c r="N169" s="12" t="s">
        <v>415</v>
      </c>
      <c r="O169" s="12" t="s">
        <v>416</v>
      </c>
      <c r="P169" s="12" t="s">
        <v>417</v>
      </c>
      <c r="Q169" s="12"/>
      <c r="R169" s="12" t="s">
        <v>418</v>
      </c>
      <c r="S169" s="12" t="s">
        <v>30</v>
      </c>
      <c r="T169" s="6" t="s">
        <v>419</v>
      </c>
      <c r="U169" s="6" t="s">
        <v>712</v>
      </c>
      <c r="V169" s="6" t="s">
        <v>421</v>
      </c>
    </row>
    <row r="170" spans="1:22" ht="22.5" customHeight="1" x14ac:dyDescent="0.25">
      <c r="A170" s="6" t="s">
        <v>713</v>
      </c>
      <c r="B170" s="6" t="s">
        <v>63</v>
      </c>
      <c r="C170" s="6" t="s">
        <v>423</v>
      </c>
      <c r="D170" s="6" t="s">
        <v>689</v>
      </c>
      <c r="E170" s="6" t="s">
        <v>65</v>
      </c>
      <c r="F170" s="6" t="s">
        <v>439</v>
      </c>
      <c r="G170" s="9" t="s">
        <v>714</v>
      </c>
      <c r="H170" s="9" t="s">
        <v>425</v>
      </c>
      <c r="I170" s="9" t="s">
        <v>426</v>
      </c>
      <c r="J170" s="9" t="s">
        <v>427</v>
      </c>
      <c r="K170" s="9" t="s">
        <v>413</v>
      </c>
      <c r="L170" s="9"/>
      <c r="M170" s="12" t="s">
        <v>113</v>
      </c>
      <c r="N170" s="12" t="s">
        <v>428</v>
      </c>
      <c r="O170" s="12" t="s">
        <v>429</v>
      </c>
      <c r="P170" s="12" t="s">
        <v>430</v>
      </c>
      <c r="Q170" s="12"/>
      <c r="R170" s="12" t="s">
        <v>431</v>
      </c>
      <c r="S170" s="12" t="s">
        <v>30</v>
      </c>
      <c r="T170" s="6" t="s">
        <v>432</v>
      </c>
      <c r="U170" s="6" t="s">
        <v>715</v>
      </c>
      <c r="V170" s="6" t="s">
        <v>434</v>
      </c>
    </row>
    <row r="171" spans="1:22" ht="22.5" customHeight="1" x14ac:dyDescent="0.25">
      <c r="A171" s="6" t="s">
        <v>716</v>
      </c>
      <c r="B171" s="6" t="s">
        <v>63</v>
      </c>
      <c r="C171" s="6" t="s">
        <v>423</v>
      </c>
      <c r="D171" s="6" t="s">
        <v>689</v>
      </c>
      <c r="E171" s="6" t="s">
        <v>65</v>
      </c>
      <c r="F171" s="6" t="s">
        <v>439</v>
      </c>
      <c r="G171" s="9" t="s">
        <v>717</v>
      </c>
      <c r="H171" s="9" t="s">
        <v>425</v>
      </c>
      <c r="I171" s="9" t="s">
        <v>426</v>
      </c>
      <c r="J171" s="9" t="s">
        <v>427</v>
      </c>
      <c r="K171" s="9" t="s">
        <v>413</v>
      </c>
      <c r="L171" s="9"/>
      <c r="M171" s="12" t="s">
        <v>113</v>
      </c>
      <c r="N171" s="12" t="s">
        <v>428</v>
      </c>
      <c r="O171" s="12" t="s">
        <v>429</v>
      </c>
      <c r="P171" s="12" t="s">
        <v>430</v>
      </c>
      <c r="Q171" s="12"/>
      <c r="R171" s="12" t="s">
        <v>431</v>
      </c>
      <c r="S171" s="12" t="s">
        <v>30</v>
      </c>
      <c r="T171" s="6" t="s">
        <v>432</v>
      </c>
      <c r="U171" s="6" t="s">
        <v>718</v>
      </c>
      <c r="V171" s="6" t="s">
        <v>434</v>
      </c>
    </row>
    <row r="172" spans="1:22" ht="22.5" customHeight="1" x14ac:dyDescent="0.25">
      <c r="A172" s="6" t="s">
        <v>719</v>
      </c>
      <c r="B172" s="6" t="s">
        <v>63</v>
      </c>
      <c r="C172" s="6" t="s">
        <v>407</v>
      </c>
      <c r="D172" s="6" t="s">
        <v>720</v>
      </c>
      <c r="E172" s="6" t="s">
        <v>65</v>
      </c>
      <c r="F172" s="6" t="s">
        <v>65</v>
      </c>
      <c r="G172" s="9" t="s">
        <v>721</v>
      </c>
      <c r="H172" s="9" t="s">
        <v>410</v>
      </c>
      <c r="I172" s="9" t="s">
        <v>411</v>
      </c>
      <c r="J172" s="9" t="s">
        <v>412</v>
      </c>
      <c r="K172" s="9" t="s">
        <v>413</v>
      </c>
      <c r="L172" s="9" t="s">
        <v>414</v>
      </c>
      <c r="M172" s="12" t="s">
        <v>71</v>
      </c>
      <c r="N172" s="12" t="s">
        <v>415</v>
      </c>
      <c r="O172" s="12" t="s">
        <v>416</v>
      </c>
      <c r="P172" s="12" t="s">
        <v>417</v>
      </c>
      <c r="Q172" s="12"/>
      <c r="R172" s="12" t="s">
        <v>418</v>
      </c>
      <c r="S172" s="12" t="s">
        <v>30</v>
      </c>
      <c r="T172" s="6" t="s">
        <v>419</v>
      </c>
      <c r="U172" s="6" t="s">
        <v>722</v>
      </c>
      <c r="V172" s="6" t="s">
        <v>421</v>
      </c>
    </row>
    <row r="173" spans="1:22" ht="22.5" customHeight="1" x14ac:dyDescent="0.25">
      <c r="A173" s="6" t="s">
        <v>723</v>
      </c>
      <c r="B173" s="6" t="s">
        <v>63</v>
      </c>
      <c r="C173" s="6" t="s">
        <v>423</v>
      </c>
      <c r="D173" s="6" t="s">
        <v>720</v>
      </c>
      <c r="E173" s="6" t="s">
        <v>65</v>
      </c>
      <c r="F173" s="6" t="s">
        <v>65</v>
      </c>
      <c r="G173" s="9" t="s">
        <v>724</v>
      </c>
      <c r="H173" s="9" t="s">
        <v>425</v>
      </c>
      <c r="I173" s="9" t="s">
        <v>426</v>
      </c>
      <c r="J173" s="9" t="s">
        <v>427</v>
      </c>
      <c r="K173" s="9" t="s">
        <v>413</v>
      </c>
      <c r="L173" s="9"/>
      <c r="M173" s="12" t="s">
        <v>113</v>
      </c>
      <c r="N173" s="12" t="s">
        <v>428</v>
      </c>
      <c r="O173" s="12" t="s">
        <v>429</v>
      </c>
      <c r="P173" s="12" t="s">
        <v>430</v>
      </c>
      <c r="Q173" s="12"/>
      <c r="R173" s="12" t="s">
        <v>431</v>
      </c>
      <c r="S173" s="12" t="s">
        <v>30</v>
      </c>
      <c r="T173" s="6" t="s">
        <v>432</v>
      </c>
      <c r="U173" s="6" t="s">
        <v>725</v>
      </c>
      <c r="V173" s="6" t="s">
        <v>434</v>
      </c>
    </row>
    <row r="174" spans="1:22" ht="22.5" customHeight="1" x14ac:dyDescent="0.25">
      <c r="A174" s="6" t="s">
        <v>726</v>
      </c>
      <c r="B174" s="6" t="s">
        <v>63</v>
      </c>
      <c r="C174" s="6" t="s">
        <v>407</v>
      </c>
      <c r="D174" s="6" t="s">
        <v>720</v>
      </c>
      <c r="E174" s="6" t="s">
        <v>65</v>
      </c>
      <c r="F174" s="6" t="s">
        <v>65</v>
      </c>
      <c r="G174" s="9" t="s">
        <v>727</v>
      </c>
      <c r="H174" s="9" t="s">
        <v>410</v>
      </c>
      <c r="I174" s="9" t="s">
        <v>411</v>
      </c>
      <c r="J174" s="9" t="s">
        <v>412</v>
      </c>
      <c r="K174" s="9" t="s">
        <v>413</v>
      </c>
      <c r="L174" s="9" t="s">
        <v>414</v>
      </c>
      <c r="M174" s="12" t="s">
        <v>71</v>
      </c>
      <c r="N174" s="12" t="s">
        <v>415</v>
      </c>
      <c r="O174" s="12" t="s">
        <v>416</v>
      </c>
      <c r="P174" s="12" t="s">
        <v>417</v>
      </c>
      <c r="Q174" s="12"/>
      <c r="R174" s="12" t="s">
        <v>418</v>
      </c>
      <c r="S174" s="12" t="s">
        <v>30</v>
      </c>
      <c r="T174" s="6" t="s">
        <v>419</v>
      </c>
      <c r="U174" s="6" t="s">
        <v>728</v>
      </c>
      <c r="V174" s="6" t="s">
        <v>421</v>
      </c>
    </row>
    <row r="175" spans="1:22" ht="22.5" customHeight="1" x14ac:dyDescent="0.25">
      <c r="A175" s="6" t="s">
        <v>729</v>
      </c>
      <c r="B175" s="6" t="s">
        <v>63</v>
      </c>
      <c r="C175" s="6" t="s">
        <v>423</v>
      </c>
      <c r="D175" s="6" t="s">
        <v>720</v>
      </c>
      <c r="E175" s="6" t="s">
        <v>65</v>
      </c>
      <c r="F175" s="6" t="s">
        <v>65</v>
      </c>
      <c r="G175" s="9" t="s">
        <v>730</v>
      </c>
      <c r="H175" s="9" t="s">
        <v>425</v>
      </c>
      <c r="I175" s="9" t="s">
        <v>426</v>
      </c>
      <c r="J175" s="9" t="s">
        <v>427</v>
      </c>
      <c r="K175" s="9" t="s">
        <v>413</v>
      </c>
      <c r="L175" s="9"/>
      <c r="M175" s="12" t="s">
        <v>113</v>
      </c>
      <c r="N175" s="12" t="s">
        <v>428</v>
      </c>
      <c r="O175" s="12" t="s">
        <v>429</v>
      </c>
      <c r="P175" s="12" t="s">
        <v>430</v>
      </c>
      <c r="Q175" s="12"/>
      <c r="R175" s="12" t="s">
        <v>431</v>
      </c>
      <c r="S175" s="12" t="s">
        <v>30</v>
      </c>
      <c r="T175" s="6" t="s">
        <v>432</v>
      </c>
      <c r="U175" s="6" t="s">
        <v>731</v>
      </c>
      <c r="V175" s="6" t="s">
        <v>434</v>
      </c>
    </row>
    <row r="176" spans="1:22" ht="22.5" customHeight="1" x14ac:dyDescent="0.25">
      <c r="A176" s="6" t="s">
        <v>732</v>
      </c>
      <c r="B176" s="6" t="s">
        <v>63</v>
      </c>
      <c r="C176" s="6" t="s">
        <v>407</v>
      </c>
      <c r="D176" s="6" t="s">
        <v>720</v>
      </c>
      <c r="E176" s="6" t="s">
        <v>65</v>
      </c>
      <c r="F176" s="6" t="s">
        <v>65</v>
      </c>
      <c r="G176" s="9" t="s">
        <v>733</v>
      </c>
      <c r="H176" s="9" t="s">
        <v>410</v>
      </c>
      <c r="I176" s="9" t="s">
        <v>411</v>
      </c>
      <c r="J176" s="9" t="s">
        <v>412</v>
      </c>
      <c r="K176" s="9" t="s">
        <v>413</v>
      </c>
      <c r="L176" s="9" t="s">
        <v>414</v>
      </c>
      <c r="M176" s="12" t="s">
        <v>71</v>
      </c>
      <c r="N176" s="12" t="s">
        <v>415</v>
      </c>
      <c r="O176" s="12" t="s">
        <v>416</v>
      </c>
      <c r="P176" s="12" t="s">
        <v>417</v>
      </c>
      <c r="Q176" s="12"/>
      <c r="R176" s="12" t="s">
        <v>418</v>
      </c>
      <c r="S176" s="12" t="s">
        <v>30</v>
      </c>
      <c r="T176" s="6" t="s">
        <v>419</v>
      </c>
      <c r="U176" s="6" t="s">
        <v>734</v>
      </c>
      <c r="V176" s="6" t="s">
        <v>421</v>
      </c>
    </row>
    <row r="177" spans="1:22" ht="22.5" customHeight="1" x14ac:dyDescent="0.25">
      <c r="A177" s="6" t="s">
        <v>735</v>
      </c>
      <c r="B177" s="6" t="s">
        <v>63</v>
      </c>
      <c r="C177" s="6" t="s">
        <v>423</v>
      </c>
      <c r="D177" s="6" t="s">
        <v>720</v>
      </c>
      <c r="E177" s="6" t="s">
        <v>65</v>
      </c>
      <c r="F177" s="6" t="s">
        <v>65</v>
      </c>
      <c r="G177" s="9" t="s">
        <v>736</v>
      </c>
      <c r="H177" s="9" t="s">
        <v>425</v>
      </c>
      <c r="I177" s="9" t="s">
        <v>426</v>
      </c>
      <c r="J177" s="9" t="s">
        <v>427</v>
      </c>
      <c r="K177" s="9" t="s">
        <v>413</v>
      </c>
      <c r="L177" s="9"/>
      <c r="M177" s="12" t="s">
        <v>113</v>
      </c>
      <c r="N177" s="12" t="s">
        <v>428</v>
      </c>
      <c r="O177" s="12" t="s">
        <v>429</v>
      </c>
      <c r="P177" s="12" t="s">
        <v>430</v>
      </c>
      <c r="Q177" s="12"/>
      <c r="R177" s="12" t="s">
        <v>431</v>
      </c>
      <c r="S177" s="12" t="s">
        <v>30</v>
      </c>
      <c r="T177" s="6" t="s">
        <v>432</v>
      </c>
      <c r="U177" s="6" t="s">
        <v>737</v>
      </c>
      <c r="V177" s="6" t="s">
        <v>434</v>
      </c>
    </row>
    <row r="178" spans="1:22" ht="22.5" customHeight="1" x14ac:dyDescent="0.25">
      <c r="A178" s="6" t="s">
        <v>738</v>
      </c>
      <c r="B178" s="6" t="s">
        <v>63</v>
      </c>
      <c r="C178" s="6" t="s">
        <v>407</v>
      </c>
      <c r="D178" s="6" t="s">
        <v>739</v>
      </c>
      <c r="E178" s="6" t="s">
        <v>65</v>
      </c>
      <c r="F178" s="6" t="s">
        <v>65</v>
      </c>
      <c r="G178" s="9" t="s">
        <v>740</v>
      </c>
      <c r="H178" s="9" t="s">
        <v>410</v>
      </c>
      <c r="I178" s="9" t="s">
        <v>411</v>
      </c>
      <c r="J178" s="9" t="s">
        <v>412</v>
      </c>
      <c r="K178" s="9" t="s">
        <v>413</v>
      </c>
      <c r="L178" s="9" t="s">
        <v>414</v>
      </c>
      <c r="M178" s="12" t="s">
        <v>71</v>
      </c>
      <c r="N178" s="12" t="s">
        <v>415</v>
      </c>
      <c r="O178" s="12" t="s">
        <v>416</v>
      </c>
      <c r="P178" s="12" t="s">
        <v>417</v>
      </c>
      <c r="Q178" s="12"/>
      <c r="R178" s="12" t="s">
        <v>741</v>
      </c>
      <c r="S178" s="12" t="s">
        <v>30</v>
      </c>
      <c r="T178" s="6" t="s">
        <v>419</v>
      </c>
      <c r="U178" s="6" t="s">
        <v>742</v>
      </c>
      <c r="V178" s="6" t="s">
        <v>421</v>
      </c>
    </row>
    <row r="179" spans="1:22" ht="22.5" customHeight="1" x14ac:dyDescent="0.25">
      <c r="A179" s="6" t="s">
        <v>743</v>
      </c>
      <c r="B179" s="6" t="s">
        <v>63</v>
      </c>
      <c r="C179" s="6" t="s">
        <v>423</v>
      </c>
      <c r="D179" s="6" t="s">
        <v>739</v>
      </c>
      <c r="E179" s="6" t="s">
        <v>65</v>
      </c>
      <c r="F179" s="6" t="s">
        <v>65</v>
      </c>
      <c r="G179" s="9" t="s">
        <v>744</v>
      </c>
      <c r="H179" s="9" t="s">
        <v>425</v>
      </c>
      <c r="I179" s="9" t="s">
        <v>426</v>
      </c>
      <c r="J179" s="9" t="s">
        <v>427</v>
      </c>
      <c r="K179" s="9" t="s">
        <v>413</v>
      </c>
      <c r="L179" s="9"/>
      <c r="M179" s="12" t="s">
        <v>113</v>
      </c>
      <c r="N179" s="12" t="s">
        <v>428</v>
      </c>
      <c r="O179" s="12" t="s">
        <v>429</v>
      </c>
      <c r="P179" s="12" t="s">
        <v>430</v>
      </c>
      <c r="Q179" s="12"/>
      <c r="R179" s="12" t="s">
        <v>431</v>
      </c>
      <c r="S179" s="12" t="s">
        <v>30</v>
      </c>
      <c r="T179" s="6" t="s">
        <v>432</v>
      </c>
      <c r="U179" s="6" t="s">
        <v>745</v>
      </c>
      <c r="V179" s="6" t="s">
        <v>434</v>
      </c>
    </row>
    <row r="180" spans="1:22" ht="22.5" customHeight="1" x14ac:dyDescent="0.25">
      <c r="A180" s="6" t="s">
        <v>746</v>
      </c>
      <c r="B180" s="6" t="s">
        <v>63</v>
      </c>
      <c r="C180" s="6" t="s">
        <v>423</v>
      </c>
      <c r="D180" s="6" t="s">
        <v>739</v>
      </c>
      <c r="E180" s="6" t="s">
        <v>65</v>
      </c>
      <c r="F180" s="6" t="s">
        <v>65</v>
      </c>
      <c r="G180" s="9" t="s">
        <v>747</v>
      </c>
      <c r="H180" s="9" t="s">
        <v>425</v>
      </c>
      <c r="I180" s="9" t="s">
        <v>426</v>
      </c>
      <c r="J180" s="9" t="s">
        <v>427</v>
      </c>
      <c r="K180" s="9" t="s">
        <v>413</v>
      </c>
      <c r="L180" s="9"/>
      <c r="M180" s="12" t="s">
        <v>113</v>
      </c>
      <c r="N180" s="12" t="s">
        <v>428</v>
      </c>
      <c r="O180" s="12" t="s">
        <v>429</v>
      </c>
      <c r="P180" s="12" t="s">
        <v>430</v>
      </c>
      <c r="Q180" s="12"/>
      <c r="R180" s="12" t="s">
        <v>431</v>
      </c>
      <c r="S180" s="12" t="s">
        <v>30</v>
      </c>
      <c r="T180" s="6" t="s">
        <v>432</v>
      </c>
      <c r="U180" s="6" t="s">
        <v>748</v>
      </c>
      <c r="V180" s="6" t="s">
        <v>434</v>
      </c>
    </row>
    <row r="181" spans="1:22" ht="22.5" customHeight="1" x14ac:dyDescent="0.25">
      <c r="A181" s="6" t="s">
        <v>749</v>
      </c>
      <c r="B181" s="6" t="s">
        <v>63</v>
      </c>
      <c r="C181" s="6" t="s">
        <v>407</v>
      </c>
      <c r="D181" s="6" t="s">
        <v>750</v>
      </c>
      <c r="E181" s="6" t="s">
        <v>65</v>
      </c>
      <c r="F181" s="6" t="s">
        <v>65</v>
      </c>
      <c r="G181" s="9" t="s">
        <v>751</v>
      </c>
      <c r="H181" s="9" t="s">
        <v>410</v>
      </c>
      <c r="I181" s="9" t="s">
        <v>411</v>
      </c>
      <c r="J181" s="9" t="s">
        <v>412</v>
      </c>
      <c r="K181" s="9" t="s">
        <v>413</v>
      </c>
      <c r="L181" s="9" t="s">
        <v>414</v>
      </c>
      <c r="M181" s="12" t="s">
        <v>71</v>
      </c>
      <c r="N181" s="12" t="s">
        <v>415</v>
      </c>
      <c r="O181" s="12" t="s">
        <v>416</v>
      </c>
      <c r="P181" s="12" t="s">
        <v>417</v>
      </c>
      <c r="Q181" s="12"/>
      <c r="R181" s="12" t="s">
        <v>741</v>
      </c>
      <c r="S181" s="12" t="s">
        <v>30</v>
      </c>
      <c r="T181" s="6" t="s">
        <v>419</v>
      </c>
      <c r="U181" s="6" t="s">
        <v>752</v>
      </c>
      <c r="V181" s="6" t="s">
        <v>421</v>
      </c>
    </row>
    <row r="182" spans="1:22" ht="22.5" customHeight="1" x14ac:dyDescent="0.25">
      <c r="A182" s="6" t="s">
        <v>753</v>
      </c>
      <c r="B182" s="6" t="s">
        <v>63</v>
      </c>
      <c r="C182" s="6" t="s">
        <v>423</v>
      </c>
      <c r="D182" s="6" t="s">
        <v>750</v>
      </c>
      <c r="E182" s="6" t="s">
        <v>65</v>
      </c>
      <c r="F182" s="6" t="s">
        <v>65</v>
      </c>
      <c r="G182" s="9" t="s">
        <v>744</v>
      </c>
      <c r="H182" s="9" t="s">
        <v>425</v>
      </c>
      <c r="I182" s="9" t="s">
        <v>426</v>
      </c>
      <c r="J182" s="9" t="s">
        <v>427</v>
      </c>
      <c r="K182" s="9" t="s">
        <v>413</v>
      </c>
      <c r="L182" s="9"/>
      <c r="M182" s="12" t="s">
        <v>113</v>
      </c>
      <c r="N182" s="12" t="s">
        <v>428</v>
      </c>
      <c r="O182" s="12" t="s">
        <v>429</v>
      </c>
      <c r="P182" s="12" t="s">
        <v>430</v>
      </c>
      <c r="Q182" s="12"/>
      <c r="R182" s="12" t="s">
        <v>431</v>
      </c>
      <c r="S182" s="12" t="s">
        <v>30</v>
      </c>
      <c r="T182" s="6" t="s">
        <v>432</v>
      </c>
      <c r="U182" s="6" t="s">
        <v>754</v>
      </c>
      <c r="V182" s="6" t="s">
        <v>434</v>
      </c>
    </row>
    <row r="183" spans="1:22" ht="22.5" customHeight="1" x14ac:dyDescent="0.25">
      <c r="A183" s="6" t="s">
        <v>755</v>
      </c>
      <c r="B183" s="6" t="s">
        <v>63</v>
      </c>
      <c r="C183" s="6" t="s">
        <v>423</v>
      </c>
      <c r="D183" s="6" t="s">
        <v>750</v>
      </c>
      <c r="E183" s="6" t="s">
        <v>65</v>
      </c>
      <c r="F183" s="6" t="s">
        <v>65</v>
      </c>
      <c r="G183" s="9" t="s">
        <v>747</v>
      </c>
      <c r="H183" s="9" t="s">
        <v>425</v>
      </c>
      <c r="I183" s="9" t="s">
        <v>426</v>
      </c>
      <c r="J183" s="9" t="s">
        <v>427</v>
      </c>
      <c r="K183" s="9" t="s">
        <v>413</v>
      </c>
      <c r="L183" s="9"/>
      <c r="M183" s="12" t="s">
        <v>113</v>
      </c>
      <c r="N183" s="12" t="s">
        <v>428</v>
      </c>
      <c r="O183" s="12" t="s">
        <v>429</v>
      </c>
      <c r="P183" s="12" t="s">
        <v>430</v>
      </c>
      <c r="Q183" s="12"/>
      <c r="R183" s="12" t="s">
        <v>431</v>
      </c>
      <c r="S183" s="12" t="s">
        <v>30</v>
      </c>
      <c r="T183" s="6" t="s">
        <v>432</v>
      </c>
      <c r="U183" s="6" t="s">
        <v>756</v>
      </c>
      <c r="V183" s="6" t="s">
        <v>434</v>
      </c>
    </row>
    <row r="184" spans="1:22" ht="22.5" customHeight="1" x14ac:dyDescent="0.25">
      <c r="A184" s="6" t="s">
        <v>757</v>
      </c>
      <c r="B184" s="6" t="s">
        <v>63</v>
      </c>
      <c r="C184" s="6" t="s">
        <v>407</v>
      </c>
      <c r="D184" s="6" t="s">
        <v>750</v>
      </c>
      <c r="E184" s="6" t="s">
        <v>65</v>
      </c>
      <c r="F184" s="6" t="s">
        <v>65</v>
      </c>
      <c r="G184" s="9" t="s">
        <v>758</v>
      </c>
      <c r="H184" s="9" t="s">
        <v>410</v>
      </c>
      <c r="I184" s="9" t="s">
        <v>411</v>
      </c>
      <c r="J184" s="9" t="s">
        <v>412</v>
      </c>
      <c r="K184" s="9" t="s">
        <v>413</v>
      </c>
      <c r="L184" s="9" t="s">
        <v>414</v>
      </c>
      <c r="M184" s="12" t="s">
        <v>71</v>
      </c>
      <c r="N184" s="12" t="s">
        <v>415</v>
      </c>
      <c r="O184" s="12" t="s">
        <v>416</v>
      </c>
      <c r="P184" s="12" t="s">
        <v>417</v>
      </c>
      <c r="Q184" s="12"/>
      <c r="R184" s="12" t="s">
        <v>741</v>
      </c>
      <c r="S184" s="12" t="s">
        <v>30</v>
      </c>
      <c r="T184" s="6" t="s">
        <v>447</v>
      </c>
      <c r="U184" s="6" t="s">
        <v>759</v>
      </c>
      <c r="V184" s="6" t="s">
        <v>421</v>
      </c>
    </row>
    <row r="185" spans="1:22" ht="22.5" customHeight="1" x14ac:dyDescent="0.25">
      <c r="A185" s="6" t="s">
        <v>760</v>
      </c>
      <c r="B185" s="6" t="s">
        <v>63</v>
      </c>
      <c r="C185" s="6" t="s">
        <v>423</v>
      </c>
      <c r="D185" s="6" t="s">
        <v>750</v>
      </c>
      <c r="E185" s="6" t="s">
        <v>65</v>
      </c>
      <c r="F185" s="6" t="s">
        <v>439</v>
      </c>
      <c r="G185" s="9" t="s">
        <v>761</v>
      </c>
      <c r="H185" s="9" t="s">
        <v>762</v>
      </c>
      <c r="I185" s="9" t="s">
        <v>426</v>
      </c>
      <c r="J185" s="9" t="s">
        <v>763</v>
      </c>
      <c r="K185" s="9" t="s">
        <v>413</v>
      </c>
      <c r="L185" s="9"/>
      <c r="M185" s="12" t="s">
        <v>84</v>
      </c>
      <c r="N185" s="12" t="s">
        <v>764</v>
      </c>
      <c r="O185" s="12" t="s">
        <v>765</v>
      </c>
      <c r="P185" s="12" t="s">
        <v>766</v>
      </c>
      <c r="Q185" s="12"/>
      <c r="R185" s="12" t="s">
        <v>767</v>
      </c>
      <c r="S185" s="12" t="s">
        <v>30</v>
      </c>
      <c r="T185" s="6" t="s">
        <v>768</v>
      </c>
      <c r="U185" s="6"/>
      <c r="V185" s="6" t="s">
        <v>769</v>
      </c>
    </row>
    <row r="186" spans="1:22" ht="22.5" customHeight="1" x14ac:dyDescent="0.25">
      <c r="A186" s="6" t="s">
        <v>770</v>
      </c>
      <c r="B186" s="6" t="s">
        <v>63</v>
      </c>
      <c r="C186" s="6" t="s">
        <v>423</v>
      </c>
      <c r="D186" s="6" t="s">
        <v>750</v>
      </c>
      <c r="E186" s="6" t="s">
        <v>65</v>
      </c>
      <c r="F186" s="6" t="s">
        <v>439</v>
      </c>
      <c r="G186" s="9" t="s">
        <v>771</v>
      </c>
      <c r="H186" s="9" t="s">
        <v>762</v>
      </c>
      <c r="I186" s="9" t="s">
        <v>426</v>
      </c>
      <c r="J186" s="9" t="s">
        <v>763</v>
      </c>
      <c r="K186" s="9" t="s">
        <v>413</v>
      </c>
      <c r="L186" s="9"/>
      <c r="M186" s="12" t="s">
        <v>84</v>
      </c>
      <c r="N186" s="12" t="s">
        <v>764</v>
      </c>
      <c r="O186" s="12" t="s">
        <v>765</v>
      </c>
      <c r="P186" s="12" t="s">
        <v>766</v>
      </c>
      <c r="Q186" s="12"/>
      <c r="R186" s="12" t="s">
        <v>767</v>
      </c>
      <c r="S186" s="12" t="s">
        <v>30</v>
      </c>
      <c r="T186" s="6" t="s">
        <v>768</v>
      </c>
      <c r="U186" s="6"/>
      <c r="V186" s="6" t="s">
        <v>769</v>
      </c>
    </row>
    <row r="187" spans="1:22" ht="22.5" customHeight="1" x14ac:dyDescent="0.25">
      <c r="A187" s="7" t="s">
        <v>772</v>
      </c>
      <c r="B187" s="7" t="s">
        <v>63</v>
      </c>
      <c r="C187" s="7" t="s">
        <v>423</v>
      </c>
      <c r="D187" s="7" t="s">
        <v>750</v>
      </c>
      <c r="E187" s="7" t="s">
        <v>65</v>
      </c>
      <c r="F187" s="7" t="s">
        <v>439</v>
      </c>
      <c r="G187" s="10" t="s">
        <v>773</v>
      </c>
      <c r="H187" s="10" t="s">
        <v>762</v>
      </c>
      <c r="I187" s="10" t="s">
        <v>426</v>
      </c>
      <c r="J187" s="10" t="s">
        <v>763</v>
      </c>
      <c r="K187" s="10" t="s">
        <v>413</v>
      </c>
      <c r="L187" s="10"/>
      <c r="M187" s="13" t="s">
        <v>84</v>
      </c>
      <c r="N187" s="13" t="s">
        <v>764</v>
      </c>
      <c r="O187" s="13" t="s">
        <v>765</v>
      </c>
      <c r="P187" s="13" t="s">
        <v>766</v>
      </c>
      <c r="Q187" s="13"/>
      <c r="R187" s="13" t="s">
        <v>767</v>
      </c>
      <c r="S187" s="13" t="s">
        <v>30</v>
      </c>
      <c r="T187" s="7" t="s">
        <v>768</v>
      </c>
      <c r="U187" s="7"/>
      <c r="V187" s="7" t="s">
        <v>769</v>
      </c>
    </row>
    <row r="188" spans="1:22" x14ac:dyDescent="0.25">
      <c r="A188" t="s">
        <v>1630</v>
      </c>
      <c r="B188" t="s">
        <v>63</v>
      </c>
      <c r="C188" t="s">
        <v>64</v>
      </c>
      <c r="D188" t="s">
        <v>261</v>
      </c>
      <c r="E188" t="s">
        <v>65</v>
      </c>
      <c r="F188" t="s">
        <v>65</v>
      </c>
      <c r="G188" t="s">
        <v>1631</v>
      </c>
      <c r="H188" t="s">
        <v>1632</v>
      </c>
      <c r="I188" t="s">
        <v>68</v>
      </c>
      <c r="J188" t="s">
        <v>1633</v>
      </c>
      <c r="K188" t="s">
        <v>1634</v>
      </c>
      <c r="M188" t="s">
        <v>1635</v>
      </c>
      <c r="N188" t="s">
        <v>1636</v>
      </c>
      <c r="O188" t="s">
        <v>1637</v>
      </c>
      <c r="P188" t="s">
        <v>1638</v>
      </c>
      <c r="R188" t="s">
        <v>1639</v>
      </c>
      <c r="S188" t="s">
        <v>30</v>
      </c>
      <c r="T188" t="s">
        <v>1640</v>
      </c>
      <c r="U188" t="s">
        <v>1641</v>
      </c>
      <c r="V188" t="s">
        <v>1642</v>
      </c>
    </row>
    <row r="189" spans="1:22" x14ac:dyDescent="0.25">
      <c r="A189" t="s">
        <v>1643</v>
      </c>
      <c r="B189" t="s">
        <v>63</v>
      </c>
      <c r="C189" t="s">
        <v>161</v>
      </c>
      <c r="D189" t="s">
        <v>261</v>
      </c>
      <c r="E189" t="s">
        <v>439</v>
      </c>
      <c r="F189" t="s">
        <v>439</v>
      </c>
      <c r="G189" t="s">
        <v>1644</v>
      </c>
      <c r="H189" t="s">
        <v>1645</v>
      </c>
      <c r="I189" t="s">
        <v>236</v>
      </c>
      <c r="J189" t="s">
        <v>236</v>
      </c>
      <c r="K189" t="s">
        <v>1604</v>
      </c>
      <c r="M189" t="s">
        <v>1605</v>
      </c>
      <c r="N189" t="s">
        <v>1646</v>
      </c>
      <c r="O189" t="s">
        <v>1615</v>
      </c>
      <c r="P189" t="s">
        <v>1647</v>
      </c>
      <c r="R189" t="s">
        <v>1648</v>
      </c>
      <c r="S189" t="s">
        <v>1609</v>
      </c>
      <c r="T189" t="s">
        <v>1649</v>
      </c>
      <c r="U189" t="s">
        <v>1650</v>
      </c>
      <c r="V189" t="s">
        <v>1651</v>
      </c>
    </row>
    <row r="190" spans="1:22" x14ac:dyDescent="0.25">
      <c r="A190" t="s">
        <v>1652</v>
      </c>
      <c r="B190" t="s">
        <v>63</v>
      </c>
      <c r="C190" t="s">
        <v>196</v>
      </c>
      <c r="D190" t="s">
        <v>261</v>
      </c>
      <c r="E190" t="s">
        <v>439</v>
      </c>
      <c r="F190" t="s">
        <v>439</v>
      </c>
      <c r="G190" t="s">
        <v>1644</v>
      </c>
      <c r="H190" t="s">
        <v>1653</v>
      </c>
      <c r="I190" t="s">
        <v>236</v>
      </c>
      <c r="J190" t="s">
        <v>236</v>
      </c>
      <c r="K190" t="s">
        <v>1604</v>
      </c>
      <c r="M190" t="s">
        <v>1605</v>
      </c>
      <c r="N190" t="s">
        <v>1646</v>
      </c>
      <c r="O190" t="s">
        <v>1615</v>
      </c>
      <c r="P190" t="s">
        <v>1647</v>
      </c>
      <c r="R190" t="s">
        <v>1654</v>
      </c>
      <c r="S190" t="s">
        <v>1609</v>
      </c>
      <c r="T190" t="s">
        <v>1649</v>
      </c>
      <c r="U190" t="s">
        <v>1655</v>
      </c>
      <c r="V190" t="s">
        <v>1651</v>
      </c>
    </row>
    <row r="191" spans="1:22" x14ac:dyDescent="0.25">
      <c r="A191" t="s">
        <v>1656</v>
      </c>
      <c r="B191" t="s">
        <v>63</v>
      </c>
      <c r="C191" t="s">
        <v>224</v>
      </c>
      <c r="D191" t="s">
        <v>261</v>
      </c>
      <c r="E191" t="s">
        <v>439</v>
      </c>
      <c r="F191" t="s">
        <v>439</v>
      </c>
      <c r="G191" t="s">
        <v>1644</v>
      </c>
      <c r="H191" t="s">
        <v>1657</v>
      </c>
      <c r="I191" t="s">
        <v>236</v>
      </c>
      <c r="J191" t="s">
        <v>236</v>
      </c>
      <c r="K191" t="s">
        <v>1604</v>
      </c>
      <c r="M191" t="s">
        <v>1605</v>
      </c>
      <c r="N191" t="s">
        <v>1646</v>
      </c>
      <c r="O191" t="s">
        <v>1615</v>
      </c>
      <c r="P191" t="s">
        <v>1647</v>
      </c>
      <c r="R191" t="s">
        <v>1658</v>
      </c>
      <c r="S191" t="s">
        <v>1609</v>
      </c>
      <c r="T191" t="s">
        <v>1649</v>
      </c>
      <c r="U191" t="s">
        <v>1659</v>
      </c>
      <c r="V191" t="s">
        <v>1651</v>
      </c>
    </row>
  </sheetData>
  <mergeCells count="2">
    <mergeCell ref="A1:V1"/>
    <mergeCell ref="A2:V2"/>
  </mergeCells>
  <phoneticPr fontId="15" type="noConversion"/>
  <conditionalFormatting sqref="S5:S187">
    <cfRule type="containsText" dxfId="4" priority="1" operator="containsText" text="v4未发现"/>
    <cfRule type="containsText" dxfId="3" priority="2" operator="containsText" text="执行阻断"/>
    <cfRule type="containsText" dxfId="2" priority="3" operator="containsText" text="已确认-强"/>
  </conditionalFormatting>
  <dataValidations count="4">
    <dataValidation type="list" sqref="E5:F187" xr:uid="{00000000-0002-0000-0100-000000000000}">
      <formula1>"Y,N,Conditional,NA,待确认"</formula1>
    </dataValidation>
    <dataValidation type="list" sqref="I5:I187" xr:uid="{00000000-0002-0000-0100-000001000000}">
      <formula1>"上传资料提取,默认,派生,继承,Omnia自动,Agent执行,无需输入,待确认"</formula1>
    </dataValidation>
    <dataValidation type="list" sqref="M5:M187" xr:uid="{00000000-0002-0000-0100-000002000000}">
      <formula1>"api,dom,hybrid,derived,source-only,none"</formula1>
    </dataValidation>
    <dataValidation type="list" sqref="S5:S187" xr:uid="{00000000-0002-0000-0100-000003000000}">
      <formula1>"已确认-强,已确认-中,已确认-弱,部分确认,执行阻断,v4未发现/待确认,不适用"</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72"/>
  <sheetViews>
    <sheetView showGridLines="0" tabSelected="1" topLeftCell="L1" workbookViewId="0">
      <selection activeCell="F76" sqref="F76"/>
    </sheetView>
  </sheetViews>
  <sheetFormatPr defaultRowHeight="15" x14ac:dyDescent="0.25"/>
  <cols>
    <col min="1" max="1" width="34" customWidth="1"/>
    <col min="2" max="2" width="32" customWidth="1"/>
    <col min="3" max="3" width="40" customWidth="1"/>
    <col min="4" max="4" width="32" customWidth="1"/>
    <col min="5" max="5" width="40" customWidth="1"/>
    <col min="6" max="6" width="18" customWidth="1"/>
    <col min="7" max="7" width="16" customWidth="1"/>
    <col min="8" max="8" width="19.125" customWidth="1"/>
    <col min="9" max="9" width="20.25" customWidth="1"/>
    <col min="10" max="10" width="21.125" customWidth="1"/>
    <col min="11" max="13" width="18" customWidth="1"/>
    <col min="14" max="14" width="30" customWidth="1"/>
    <col min="15" max="15" width="16" customWidth="1"/>
    <col min="16" max="16" width="38" customWidth="1"/>
    <col min="17" max="17" width="18" customWidth="1"/>
    <col min="18" max="18" width="54" customWidth="1"/>
    <col min="19" max="19" width="46" customWidth="1"/>
    <col min="20" max="20" width="18" customWidth="1"/>
    <col min="21" max="21" width="24" customWidth="1"/>
    <col min="22" max="22" width="48" customWidth="1"/>
  </cols>
  <sheetData>
    <row r="1" spans="1:22" ht="30" customHeight="1" x14ac:dyDescent="0.25">
      <c r="A1" s="85" t="s">
        <v>774</v>
      </c>
      <c r="B1" s="73"/>
      <c r="C1" s="73"/>
      <c r="D1" s="73"/>
      <c r="E1" s="73"/>
      <c r="F1" s="73"/>
      <c r="G1" s="73"/>
      <c r="H1" s="73"/>
      <c r="I1" s="73"/>
      <c r="J1" s="73"/>
      <c r="K1" s="73"/>
      <c r="L1" s="73"/>
      <c r="M1" s="73"/>
      <c r="N1" s="73"/>
      <c r="O1" s="73"/>
      <c r="P1" s="73"/>
      <c r="Q1" s="73"/>
      <c r="R1" s="73"/>
      <c r="S1" s="73"/>
      <c r="T1" s="73"/>
      <c r="U1" s="73"/>
      <c r="V1" s="73"/>
    </row>
    <row r="2" spans="1:22" ht="36" customHeight="1" x14ac:dyDescent="0.25">
      <c r="A2" s="86" t="s">
        <v>775</v>
      </c>
      <c r="B2" s="73"/>
      <c r="C2" s="73"/>
      <c r="D2" s="73"/>
      <c r="E2" s="73"/>
      <c r="F2" s="73"/>
      <c r="G2" s="73"/>
      <c r="H2" s="73"/>
      <c r="I2" s="73"/>
      <c r="J2" s="73"/>
      <c r="K2" s="73"/>
      <c r="L2" s="73"/>
      <c r="M2" s="73"/>
      <c r="N2" s="73"/>
      <c r="O2" s="73"/>
      <c r="P2" s="73"/>
      <c r="Q2" s="73"/>
      <c r="R2" s="73"/>
      <c r="S2" s="73"/>
      <c r="T2" s="73"/>
      <c r="U2" s="73"/>
      <c r="V2" s="73"/>
    </row>
    <row r="4" spans="1:22" ht="36" customHeight="1" x14ac:dyDescent="0.25">
      <c r="A4" s="2" t="s">
        <v>776</v>
      </c>
      <c r="B4" s="3" t="s">
        <v>777</v>
      </c>
      <c r="C4" s="3" t="s">
        <v>778</v>
      </c>
      <c r="D4" s="3" t="s">
        <v>779</v>
      </c>
      <c r="E4" s="3" t="s">
        <v>780</v>
      </c>
      <c r="F4" s="3" t="s">
        <v>781</v>
      </c>
      <c r="G4" s="3" t="s">
        <v>782</v>
      </c>
      <c r="H4" s="3" t="s">
        <v>783</v>
      </c>
      <c r="I4" s="3" t="s">
        <v>784</v>
      </c>
      <c r="J4" s="3" t="s">
        <v>785</v>
      </c>
      <c r="K4" s="3" t="s">
        <v>786</v>
      </c>
      <c r="L4" s="3" t="s">
        <v>787</v>
      </c>
      <c r="M4" s="3" t="s">
        <v>788</v>
      </c>
      <c r="N4" s="3" t="s">
        <v>789</v>
      </c>
      <c r="O4" s="3" t="s">
        <v>790</v>
      </c>
      <c r="P4" s="3" t="s">
        <v>791</v>
      </c>
      <c r="Q4" s="3" t="s">
        <v>792</v>
      </c>
      <c r="R4" s="3" t="s">
        <v>793</v>
      </c>
      <c r="S4" s="3" t="s">
        <v>794</v>
      </c>
      <c r="T4" s="3" t="s">
        <v>795</v>
      </c>
      <c r="U4" s="3" t="s">
        <v>60</v>
      </c>
      <c r="V4" s="4" t="s">
        <v>61</v>
      </c>
    </row>
    <row r="5" spans="1:22" ht="38.25" x14ac:dyDescent="0.25">
      <c r="A5" s="5" t="s">
        <v>796</v>
      </c>
      <c r="B5" s="5" t="s">
        <v>406</v>
      </c>
      <c r="C5" s="5" t="s">
        <v>409</v>
      </c>
      <c r="D5" s="5" t="s">
        <v>422</v>
      </c>
      <c r="E5" s="5" t="s">
        <v>424</v>
      </c>
      <c r="F5" s="5" t="s">
        <v>797</v>
      </c>
      <c r="G5" s="8" t="s">
        <v>65</v>
      </c>
      <c r="H5" s="8" t="s">
        <v>65</v>
      </c>
      <c r="I5" s="8" t="s">
        <v>65</v>
      </c>
      <c r="J5" s="8" t="s">
        <v>65</v>
      </c>
      <c r="K5" s="8" t="s">
        <v>798</v>
      </c>
      <c r="L5" s="8" t="s">
        <v>799</v>
      </c>
      <c r="M5" s="5" t="s">
        <v>800</v>
      </c>
      <c r="N5" s="5" t="s">
        <v>408</v>
      </c>
      <c r="O5" s="5" t="s">
        <v>801</v>
      </c>
      <c r="P5" s="5" t="s">
        <v>802</v>
      </c>
      <c r="Q5" s="11" t="s">
        <v>71</v>
      </c>
      <c r="R5" s="11" t="s">
        <v>803</v>
      </c>
      <c r="S5" s="11" t="s">
        <v>804</v>
      </c>
      <c r="T5" s="11" t="s">
        <v>30</v>
      </c>
      <c r="U5" s="5" t="s">
        <v>805</v>
      </c>
      <c r="V5" s="5" t="s">
        <v>806</v>
      </c>
    </row>
    <row r="6" spans="1:22" ht="38.25" x14ac:dyDescent="0.25">
      <c r="A6" s="6" t="s">
        <v>807</v>
      </c>
      <c r="B6" s="6" t="s">
        <v>406</v>
      </c>
      <c r="C6" s="6" t="s">
        <v>409</v>
      </c>
      <c r="D6" s="6" t="s">
        <v>435</v>
      </c>
      <c r="E6" s="6" t="s">
        <v>436</v>
      </c>
      <c r="F6" s="6" t="s">
        <v>797</v>
      </c>
      <c r="G6" s="9" t="s">
        <v>65</v>
      </c>
      <c r="H6" s="9" t="s">
        <v>65</v>
      </c>
      <c r="I6" s="9" t="s">
        <v>65</v>
      </c>
      <c r="J6" s="9" t="s">
        <v>65</v>
      </c>
      <c r="K6" s="9" t="s">
        <v>798</v>
      </c>
      <c r="L6" s="9" t="s">
        <v>799</v>
      </c>
      <c r="M6" s="6" t="s">
        <v>800</v>
      </c>
      <c r="N6" s="6" t="s">
        <v>408</v>
      </c>
      <c r="O6" s="6" t="s">
        <v>801</v>
      </c>
      <c r="P6" s="6" t="s">
        <v>802</v>
      </c>
      <c r="Q6" s="12" t="s">
        <v>71</v>
      </c>
      <c r="R6" s="12" t="s">
        <v>803</v>
      </c>
      <c r="S6" s="12" t="s">
        <v>804</v>
      </c>
      <c r="T6" s="12" t="s">
        <v>30</v>
      </c>
      <c r="U6" s="6" t="s">
        <v>808</v>
      </c>
      <c r="V6" s="6" t="s">
        <v>806</v>
      </c>
    </row>
    <row r="7" spans="1:22" ht="38.25" x14ac:dyDescent="0.25">
      <c r="A7" s="6" t="s">
        <v>809</v>
      </c>
      <c r="B7" s="6" t="s">
        <v>406</v>
      </c>
      <c r="C7" s="6" t="s">
        <v>409</v>
      </c>
      <c r="D7" s="6" t="s">
        <v>438</v>
      </c>
      <c r="E7" s="6" t="s">
        <v>440</v>
      </c>
      <c r="F7" s="6" t="s">
        <v>797</v>
      </c>
      <c r="G7" s="9" t="s">
        <v>65</v>
      </c>
      <c r="H7" s="9" t="s">
        <v>439</v>
      </c>
      <c r="I7" s="9" t="s">
        <v>65</v>
      </c>
      <c r="J7" s="9" t="s">
        <v>439</v>
      </c>
      <c r="K7" s="9" t="s">
        <v>798</v>
      </c>
      <c r="L7" s="9" t="s">
        <v>799</v>
      </c>
      <c r="M7" s="6" t="s">
        <v>798</v>
      </c>
      <c r="N7" s="6" t="s">
        <v>408</v>
      </c>
      <c r="O7" s="6" t="s">
        <v>801</v>
      </c>
      <c r="P7" s="6" t="s">
        <v>802</v>
      </c>
      <c r="Q7" s="12" t="s">
        <v>71</v>
      </c>
      <c r="R7" s="12" t="s">
        <v>803</v>
      </c>
      <c r="S7" s="12" t="s">
        <v>804</v>
      </c>
      <c r="T7" s="12" t="s">
        <v>30</v>
      </c>
      <c r="U7" s="6" t="s">
        <v>810</v>
      </c>
      <c r="V7" s="6" t="s">
        <v>806</v>
      </c>
    </row>
    <row r="8" spans="1:22" ht="38.25" x14ac:dyDescent="0.25">
      <c r="A8" s="6" t="s">
        <v>811</v>
      </c>
      <c r="B8" s="6" t="s">
        <v>406</v>
      </c>
      <c r="C8" s="6" t="s">
        <v>409</v>
      </c>
      <c r="D8" s="6" t="s">
        <v>442</v>
      </c>
      <c r="E8" s="6" t="s">
        <v>443</v>
      </c>
      <c r="F8" s="6" t="s">
        <v>797</v>
      </c>
      <c r="G8" s="9" t="s">
        <v>65</v>
      </c>
      <c r="H8" s="9" t="s">
        <v>65</v>
      </c>
      <c r="I8" s="9" t="s">
        <v>65</v>
      </c>
      <c r="J8" s="9" t="s">
        <v>65</v>
      </c>
      <c r="K8" s="9" t="s">
        <v>798</v>
      </c>
      <c r="L8" s="9" t="s">
        <v>799</v>
      </c>
      <c r="M8" s="6" t="s">
        <v>800</v>
      </c>
      <c r="N8" s="6" t="s">
        <v>408</v>
      </c>
      <c r="O8" s="6" t="s">
        <v>801</v>
      </c>
      <c r="P8" s="6" t="s">
        <v>802</v>
      </c>
      <c r="Q8" s="12" t="s">
        <v>71</v>
      </c>
      <c r="R8" s="12" t="s">
        <v>803</v>
      </c>
      <c r="S8" s="12" t="s">
        <v>804</v>
      </c>
      <c r="T8" s="12" t="s">
        <v>30</v>
      </c>
      <c r="U8" s="6" t="s">
        <v>812</v>
      </c>
      <c r="V8" s="6" t="s">
        <v>806</v>
      </c>
    </row>
    <row r="9" spans="1:22" ht="51" x14ac:dyDescent="0.25">
      <c r="A9" s="6" t="s">
        <v>813</v>
      </c>
      <c r="B9" s="6" t="s">
        <v>449</v>
      </c>
      <c r="C9" s="6" t="s">
        <v>450</v>
      </c>
      <c r="D9" s="6" t="s">
        <v>452</v>
      </c>
      <c r="E9" s="6" t="s">
        <v>453</v>
      </c>
      <c r="F9" s="6" t="s">
        <v>797</v>
      </c>
      <c r="G9" s="9" t="s">
        <v>65</v>
      </c>
      <c r="H9" s="9" t="s">
        <v>65</v>
      </c>
      <c r="I9" s="9" t="s">
        <v>65</v>
      </c>
      <c r="J9" s="9" t="s">
        <v>65</v>
      </c>
      <c r="K9" s="9" t="s">
        <v>798</v>
      </c>
      <c r="L9" s="9" t="s">
        <v>799</v>
      </c>
      <c r="M9" s="6" t="s">
        <v>800</v>
      </c>
      <c r="N9" s="6" t="s">
        <v>408</v>
      </c>
      <c r="O9" s="6" t="s">
        <v>801</v>
      </c>
      <c r="P9" s="6" t="s">
        <v>802</v>
      </c>
      <c r="Q9" s="12" t="s">
        <v>71</v>
      </c>
      <c r="R9" s="12" t="s">
        <v>803</v>
      </c>
      <c r="S9" s="12" t="s">
        <v>804</v>
      </c>
      <c r="T9" s="12" t="s">
        <v>30</v>
      </c>
      <c r="U9" s="6" t="s">
        <v>814</v>
      </c>
      <c r="V9" s="6" t="s">
        <v>806</v>
      </c>
    </row>
    <row r="10" spans="1:22" ht="38.25" x14ac:dyDescent="0.25">
      <c r="A10" s="6" t="s">
        <v>815</v>
      </c>
      <c r="B10" s="6" t="s">
        <v>455</v>
      </c>
      <c r="C10" s="6" t="s">
        <v>456</v>
      </c>
      <c r="D10" s="6" t="s">
        <v>458</v>
      </c>
      <c r="E10" s="6" t="s">
        <v>459</v>
      </c>
      <c r="F10" s="6" t="s">
        <v>797</v>
      </c>
      <c r="G10" s="9" t="s">
        <v>65</v>
      </c>
      <c r="H10" s="9" t="s">
        <v>65</v>
      </c>
      <c r="I10" s="9" t="s">
        <v>65</v>
      </c>
      <c r="J10" s="9" t="s">
        <v>65</v>
      </c>
      <c r="K10" s="9" t="s">
        <v>798</v>
      </c>
      <c r="L10" s="9" t="s">
        <v>799</v>
      </c>
      <c r="M10" s="6" t="s">
        <v>800</v>
      </c>
      <c r="N10" s="6" t="s">
        <v>408</v>
      </c>
      <c r="O10" s="6" t="s">
        <v>801</v>
      </c>
      <c r="P10" s="6" t="s">
        <v>802</v>
      </c>
      <c r="Q10" s="12" t="s">
        <v>71</v>
      </c>
      <c r="R10" s="12" t="s">
        <v>803</v>
      </c>
      <c r="S10" s="12" t="s">
        <v>804</v>
      </c>
      <c r="T10" s="12" t="s">
        <v>30</v>
      </c>
      <c r="U10" s="6" t="s">
        <v>816</v>
      </c>
      <c r="V10" s="6" t="s">
        <v>806</v>
      </c>
    </row>
    <row r="11" spans="1:22" ht="38.25" x14ac:dyDescent="0.25">
      <c r="A11" s="6" t="s">
        <v>817</v>
      </c>
      <c r="B11" s="6" t="s">
        <v>455</v>
      </c>
      <c r="C11" s="6" t="s">
        <v>456</v>
      </c>
      <c r="D11" s="6" t="s">
        <v>461</v>
      </c>
      <c r="E11" s="6" t="s">
        <v>462</v>
      </c>
      <c r="F11" s="6" t="s">
        <v>797</v>
      </c>
      <c r="G11" s="9" t="s">
        <v>65</v>
      </c>
      <c r="H11" s="9" t="s">
        <v>65</v>
      </c>
      <c r="I11" s="9" t="s">
        <v>65</v>
      </c>
      <c r="J11" s="9" t="s">
        <v>65</v>
      </c>
      <c r="K11" s="9" t="s">
        <v>798</v>
      </c>
      <c r="L11" s="9" t="s">
        <v>799</v>
      </c>
      <c r="M11" s="6" t="s">
        <v>800</v>
      </c>
      <c r="N11" s="6" t="s">
        <v>408</v>
      </c>
      <c r="O11" s="6" t="s">
        <v>801</v>
      </c>
      <c r="P11" s="6" t="s">
        <v>802</v>
      </c>
      <c r="Q11" s="12" t="s">
        <v>71</v>
      </c>
      <c r="R11" s="12" t="s">
        <v>803</v>
      </c>
      <c r="S11" s="12" t="s">
        <v>804</v>
      </c>
      <c r="T11" s="12" t="s">
        <v>30</v>
      </c>
      <c r="U11" s="6" t="s">
        <v>818</v>
      </c>
      <c r="V11" s="6" t="s">
        <v>806</v>
      </c>
    </row>
    <row r="12" spans="1:22" ht="38.25" x14ac:dyDescent="0.25">
      <c r="A12" s="6" t="s">
        <v>819</v>
      </c>
      <c r="B12" s="6" t="s">
        <v>467</v>
      </c>
      <c r="C12" s="6" t="s">
        <v>468</v>
      </c>
      <c r="D12" s="6" t="s">
        <v>470</v>
      </c>
      <c r="E12" s="6" t="s">
        <v>471</v>
      </c>
      <c r="F12" s="6" t="s">
        <v>797</v>
      </c>
      <c r="G12" s="9" t="s">
        <v>65</v>
      </c>
      <c r="H12" s="9" t="s">
        <v>65</v>
      </c>
      <c r="I12" s="9" t="s">
        <v>439</v>
      </c>
      <c r="J12" s="9" t="s">
        <v>439</v>
      </c>
      <c r="K12" s="9" t="s">
        <v>798</v>
      </c>
      <c r="L12" s="9" t="s">
        <v>799</v>
      </c>
      <c r="M12" s="6" t="s">
        <v>820</v>
      </c>
      <c r="N12" s="6" t="s">
        <v>408</v>
      </c>
      <c r="O12" s="6" t="s">
        <v>439</v>
      </c>
      <c r="P12" s="6" t="s">
        <v>802</v>
      </c>
      <c r="Q12" s="12" t="s">
        <v>71</v>
      </c>
      <c r="R12" s="12" t="s">
        <v>803</v>
      </c>
      <c r="S12" s="12" t="s">
        <v>804</v>
      </c>
      <c r="T12" s="12" t="s">
        <v>30</v>
      </c>
      <c r="U12" s="6" t="s">
        <v>821</v>
      </c>
      <c r="V12" s="6" t="s">
        <v>806</v>
      </c>
    </row>
    <row r="13" spans="1:22" ht="38.25" x14ac:dyDescent="0.25">
      <c r="A13" s="6" t="s">
        <v>822</v>
      </c>
      <c r="B13" s="6" t="s">
        <v>473</v>
      </c>
      <c r="C13" s="6" t="s">
        <v>474</v>
      </c>
      <c r="D13" s="6" t="s">
        <v>476</v>
      </c>
      <c r="E13" s="6" t="s">
        <v>477</v>
      </c>
      <c r="F13" s="6" t="s">
        <v>797</v>
      </c>
      <c r="G13" s="9" t="s">
        <v>65</v>
      </c>
      <c r="H13" s="9" t="s">
        <v>439</v>
      </c>
      <c r="I13" s="9" t="s">
        <v>65</v>
      </c>
      <c r="J13" s="9" t="s">
        <v>439</v>
      </c>
      <c r="K13" s="9" t="s">
        <v>798</v>
      </c>
      <c r="L13" s="9" t="s">
        <v>799</v>
      </c>
      <c r="M13" s="6" t="s">
        <v>798</v>
      </c>
      <c r="N13" s="6" t="s">
        <v>408</v>
      </c>
      <c r="O13" s="6" t="s">
        <v>801</v>
      </c>
      <c r="P13" s="6" t="s">
        <v>802</v>
      </c>
      <c r="Q13" s="12" t="s">
        <v>71</v>
      </c>
      <c r="R13" s="12" t="s">
        <v>803</v>
      </c>
      <c r="S13" s="12" t="s">
        <v>804</v>
      </c>
      <c r="T13" s="12" t="s">
        <v>30</v>
      </c>
      <c r="U13" s="6" t="s">
        <v>823</v>
      </c>
      <c r="V13" s="6" t="s">
        <v>806</v>
      </c>
    </row>
    <row r="14" spans="1:22" ht="38.25" x14ac:dyDescent="0.25">
      <c r="A14" s="6" t="s">
        <v>824</v>
      </c>
      <c r="B14" s="6" t="s">
        <v>473</v>
      </c>
      <c r="C14" s="6" t="s">
        <v>474</v>
      </c>
      <c r="D14" s="6" t="s">
        <v>479</v>
      </c>
      <c r="E14" s="6" t="s">
        <v>480</v>
      </c>
      <c r="F14" s="6" t="s">
        <v>797</v>
      </c>
      <c r="G14" s="9" t="s">
        <v>65</v>
      </c>
      <c r="H14" s="9" t="s">
        <v>439</v>
      </c>
      <c r="I14" s="9" t="s">
        <v>65</v>
      </c>
      <c r="J14" s="9" t="s">
        <v>439</v>
      </c>
      <c r="K14" s="9" t="s">
        <v>798</v>
      </c>
      <c r="L14" s="9" t="s">
        <v>799</v>
      </c>
      <c r="M14" s="6" t="s">
        <v>798</v>
      </c>
      <c r="N14" s="6" t="s">
        <v>408</v>
      </c>
      <c r="O14" s="6" t="s">
        <v>801</v>
      </c>
      <c r="P14" s="6" t="s">
        <v>802</v>
      </c>
      <c r="Q14" s="12" t="s">
        <v>71</v>
      </c>
      <c r="R14" s="12" t="s">
        <v>803</v>
      </c>
      <c r="S14" s="12" t="s">
        <v>804</v>
      </c>
      <c r="T14" s="12" t="s">
        <v>30</v>
      </c>
      <c r="U14" s="6" t="s">
        <v>825</v>
      </c>
      <c r="V14" s="6" t="s">
        <v>806</v>
      </c>
    </row>
    <row r="15" spans="1:22" ht="89.25" x14ac:dyDescent="0.25">
      <c r="A15" s="6" t="s">
        <v>826</v>
      </c>
      <c r="B15" s="6" t="s">
        <v>482</v>
      </c>
      <c r="C15" s="6" t="s">
        <v>484</v>
      </c>
      <c r="D15" s="6" t="s">
        <v>486</v>
      </c>
      <c r="E15" s="6" t="s">
        <v>487</v>
      </c>
      <c r="F15" s="6" t="s">
        <v>797</v>
      </c>
      <c r="G15" s="9" t="s">
        <v>65</v>
      </c>
      <c r="H15" s="9" t="s">
        <v>65</v>
      </c>
      <c r="I15" s="9" t="s">
        <v>65</v>
      </c>
      <c r="J15" s="9" t="s">
        <v>65</v>
      </c>
      <c r="K15" s="9" t="s">
        <v>798</v>
      </c>
      <c r="L15" s="9" t="s">
        <v>799</v>
      </c>
      <c r="M15" s="6" t="s">
        <v>800</v>
      </c>
      <c r="N15" s="6" t="s">
        <v>483</v>
      </c>
      <c r="O15" s="6" t="s">
        <v>1660</v>
      </c>
      <c r="P15" s="6" t="s">
        <v>827</v>
      </c>
      <c r="Q15" s="12" t="s">
        <v>1661</v>
      </c>
      <c r="R15" s="12" t="s">
        <v>1662</v>
      </c>
      <c r="S15" s="12" t="s">
        <v>1663</v>
      </c>
      <c r="T15" s="12" t="s">
        <v>1664</v>
      </c>
      <c r="U15" s="6" t="s">
        <v>828</v>
      </c>
      <c r="V15" s="6" t="s">
        <v>1665</v>
      </c>
    </row>
    <row r="16" spans="1:22" ht="89.25" x14ac:dyDescent="0.25">
      <c r="A16" s="6" t="s">
        <v>829</v>
      </c>
      <c r="B16" s="6" t="s">
        <v>482</v>
      </c>
      <c r="C16" s="6" t="s">
        <v>484</v>
      </c>
      <c r="D16" s="6" t="s">
        <v>489</v>
      </c>
      <c r="E16" s="6" t="s">
        <v>490</v>
      </c>
      <c r="F16" s="6" t="s">
        <v>797</v>
      </c>
      <c r="G16" s="9" t="s">
        <v>65</v>
      </c>
      <c r="H16" s="9" t="s">
        <v>65</v>
      </c>
      <c r="I16" s="9" t="s">
        <v>65</v>
      </c>
      <c r="J16" s="9" t="s">
        <v>65</v>
      </c>
      <c r="K16" s="9" t="s">
        <v>798</v>
      </c>
      <c r="L16" s="9" t="s">
        <v>799</v>
      </c>
      <c r="M16" s="6" t="s">
        <v>800</v>
      </c>
      <c r="N16" s="6" t="s">
        <v>483</v>
      </c>
      <c r="O16" s="6" t="s">
        <v>1660</v>
      </c>
      <c r="P16" s="6" t="s">
        <v>827</v>
      </c>
      <c r="Q16" s="12" t="s">
        <v>1661</v>
      </c>
      <c r="R16" s="12" t="s">
        <v>1662</v>
      </c>
      <c r="S16" s="12" t="s">
        <v>1663</v>
      </c>
      <c r="T16" s="12" t="s">
        <v>1664</v>
      </c>
      <c r="U16" s="6" t="s">
        <v>830</v>
      </c>
      <c r="V16" s="6" t="s">
        <v>1665</v>
      </c>
    </row>
    <row r="17" spans="1:22" ht="89.25" x14ac:dyDescent="0.25">
      <c r="A17" s="6" t="s">
        <v>831</v>
      </c>
      <c r="B17" s="6" t="s">
        <v>482</v>
      </c>
      <c r="C17" s="6" t="s">
        <v>484</v>
      </c>
      <c r="D17" s="6" t="s">
        <v>492</v>
      </c>
      <c r="E17" s="6" t="s">
        <v>493</v>
      </c>
      <c r="F17" s="6" t="s">
        <v>797</v>
      </c>
      <c r="G17" s="9" t="s">
        <v>65</v>
      </c>
      <c r="H17" s="9" t="s">
        <v>65</v>
      </c>
      <c r="I17" s="9" t="s">
        <v>65</v>
      </c>
      <c r="J17" s="9" t="s">
        <v>65</v>
      </c>
      <c r="K17" s="9" t="s">
        <v>798</v>
      </c>
      <c r="L17" s="9" t="s">
        <v>799</v>
      </c>
      <c r="M17" s="6" t="s">
        <v>800</v>
      </c>
      <c r="N17" s="6" t="s">
        <v>483</v>
      </c>
      <c r="O17" s="6" t="s">
        <v>1660</v>
      </c>
      <c r="P17" s="6" t="s">
        <v>827</v>
      </c>
      <c r="Q17" s="12" t="s">
        <v>1661</v>
      </c>
      <c r="R17" s="12" t="s">
        <v>1662</v>
      </c>
      <c r="S17" s="12" t="s">
        <v>1663</v>
      </c>
      <c r="T17" s="12" t="s">
        <v>1664</v>
      </c>
      <c r="U17" s="6" t="s">
        <v>832</v>
      </c>
      <c r="V17" s="6" t="s">
        <v>1665</v>
      </c>
    </row>
    <row r="18" spans="1:22" ht="89.25" x14ac:dyDescent="0.25">
      <c r="A18" s="6" t="s">
        <v>833</v>
      </c>
      <c r="B18" s="6" t="s">
        <v>495</v>
      </c>
      <c r="C18" s="6" t="s">
        <v>496</v>
      </c>
      <c r="D18" s="6" t="s">
        <v>498</v>
      </c>
      <c r="E18" s="6" t="s">
        <v>499</v>
      </c>
      <c r="F18" s="6" t="s">
        <v>797</v>
      </c>
      <c r="G18" s="9" t="s">
        <v>65</v>
      </c>
      <c r="H18" s="9" t="s">
        <v>65</v>
      </c>
      <c r="I18" s="9" t="s">
        <v>65</v>
      </c>
      <c r="J18" s="9" t="s">
        <v>65</v>
      </c>
      <c r="K18" s="9" t="s">
        <v>798</v>
      </c>
      <c r="L18" s="9" t="s">
        <v>799</v>
      </c>
      <c r="M18" s="6" t="s">
        <v>800</v>
      </c>
      <c r="N18" s="6" t="s">
        <v>483</v>
      </c>
      <c r="O18" s="6" t="s">
        <v>1660</v>
      </c>
      <c r="P18" s="6" t="s">
        <v>827</v>
      </c>
      <c r="Q18" s="12" t="s">
        <v>1661</v>
      </c>
      <c r="R18" s="12" t="s">
        <v>1662</v>
      </c>
      <c r="S18" s="12" t="s">
        <v>1666</v>
      </c>
      <c r="T18" s="12" t="s">
        <v>1664</v>
      </c>
      <c r="U18" s="6" t="s">
        <v>834</v>
      </c>
      <c r="V18" s="6" t="s">
        <v>1665</v>
      </c>
    </row>
    <row r="19" spans="1:22" ht="89.25" x14ac:dyDescent="0.25">
      <c r="A19" s="6" t="s">
        <v>835</v>
      </c>
      <c r="B19" s="6" t="s">
        <v>495</v>
      </c>
      <c r="C19" s="6" t="s">
        <v>496</v>
      </c>
      <c r="D19" s="6" t="s">
        <v>501</v>
      </c>
      <c r="E19" s="6" t="s">
        <v>502</v>
      </c>
      <c r="F19" s="6" t="s">
        <v>797</v>
      </c>
      <c r="G19" s="9" t="s">
        <v>65</v>
      </c>
      <c r="H19" s="9" t="s">
        <v>65</v>
      </c>
      <c r="I19" s="9" t="s">
        <v>65</v>
      </c>
      <c r="J19" s="9" t="s">
        <v>65</v>
      </c>
      <c r="K19" s="9" t="s">
        <v>798</v>
      </c>
      <c r="L19" s="9" t="s">
        <v>799</v>
      </c>
      <c r="M19" s="6" t="s">
        <v>800</v>
      </c>
      <c r="N19" s="6" t="s">
        <v>483</v>
      </c>
      <c r="O19" s="6" t="s">
        <v>1660</v>
      </c>
      <c r="P19" s="6" t="s">
        <v>827</v>
      </c>
      <c r="Q19" s="12" t="s">
        <v>1661</v>
      </c>
      <c r="R19" s="12" t="s">
        <v>1662</v>
      </c>
      <c r="S19" s="12" t="s">
        <v>1666</v>
      </c>
      <c r="T19" s="12" t="s">
        <v>1664</v>
      </c>
      <c r="U19" s="6" t="s">
        <v>836</v>
      </c>
      <c r="V19" s="6" t="s">
        <v>1665</v>
      </c>
    </row>
    <row r="20" spans="1:22" ht="89.25" x14ac:dyDescent="0.25">
      <c r="A20" s="6" t="s">
        <v>837</v>
      </c>
      <c r="B20" s="6" t="s">
        <v>495</v>
      </c>
      <c r="C20" s="6" t="s">
        <v>496</v>
      </c>
      <c r="D20" s="6" t="s">
        <v>504</v>
      </c>
      <c r="E20" s="6" t="s">
        <v>505</v>
      </c>
      <c r="F20" s="6" t="s">
        <v>797</v>
      </c>
      <c r="G20" s="9" t="s">
        <v>65</v>
      </c>
      <c r="H20" s="9" t="s">
        <v>439</v>
      </c>
      <c r="I20" s="9" t="s">
        <v>65</v>
      </c>
      <c r="J20" s="9" t="s">
        <v>439</v>
      </c>
      <c r="K20" s="9" t="s">
        <v>798</v>
      </c>
      <c r="L20" s="9" t="s">
        <v>799</v>
      </c>
      <c r="M20" s="6" t="s">
        <v>798</v>
      </c>
      <c r="N20" s="6" t="s">
        <v>483</v>
      </c>
      <c r="O20" s="6" t="s">
        <v>1660</v>
      </c>
      <c r="P20" s="6" t="s">
        <v>827</v>
      </c>
      <c r="Q20" s="12" t="s">
        <v>1661</v>
      </c>
      <c r="R20" s="12" t="s">
        <v>1662</v>
      </c>
      <c r="S20" s="12" t="s">
        <v>1666</v>
      </c>
      <c r="T20" s="12" t="s">
        <v>1664</v>
      </c>
      <c r="U20" s="6" t="s">
        <v>838</v>
      </c>
      <c r="V20" s="6" t="s">
        <v>1667</v>
      </c>
    </row>
    <row r="21" spans="1:22" ht="89.25" x14ac:dyDescent="0.25">
      <c r="A21" s="6" t="s">
        <v>839</v>
      </c>
      <c r="B21" s="6" t="s">
        <v>495</v>
      </c>
      <c r="C21" s="6" t="s">
        <v>496</v>
      </c>
      <c r="D21" s="6" t="s">
        <v>507</v>
      </c>
      <c r="E21" s="6" t="s">
        <v>508</v>
      </c>
      <c r="F21" s="6" t="s">
        <v>797</v>
      </c>
      <c r="G21" s="9" t="s">
        <v>65</v>
      </c>
      <c r="H21" s="9" t="s">
        <v>65</v>
      </c>
      <c r="I21" s="9" t="s">
        <v>65</v>
      </c>
      <c r="J21" s="9" t="s">
        <v>65</v>
      </c>
      <c r="K21" s="9" t="s">
        <v>798</v>
      </c>
      <c r="L21" s="9" t="s">
        <v>799</v>
      </c>
      <c r="M21" s="6" t="s">
        <v>800</v>
      </c>
      <c r="N21" s="6" t="s">
        <v>483</v>
      </c>
      <c r="O21" s="6" t="s">
        <v>1660</v>
      </c>
      <c r="P21" s="6" t="s">
        <v>827</v>
      </c>
      <c r="Q21" s="12" t="s">
        <v>1661</v>
      </c>
      <c r="R21" s="12" t="s">
        <v>1662</v>
      </c>
      <c r="S21" s="12" t="s">
        <v>1666</v>
      </c>
      <c r="T21" s="12" t="s">
        <v>1664</v>
      </c>
      <c r="U21" s="6" t="s">
        <v>840</v>
      </c>
      <c r="V21" s="6" t="s">
        <v>1665</v>
      </c>
    </row>
    <row r="22" spans="1:22" ht="89.25" x14ac:dyDescent="0.25">
      <c r="A22" s="6" t="s">
        <v>841</v>
      </c>
      <c r="B22" s="6" t="s">
        <v>495</v>
      </c>
      <c r="C22" s="6" t="s">
        <v>496</v>
      </c>
      <c r="D22" s="6" t="s">
        <v>510</v>
      </c>
      <c r="E22" s="6" t="s">
        <v>511</v>
      </c>
      <c r="F22" s="6" t="s">
        <v>797</v>
      </c>
      <c r="G22" s="9" t="s">
        <v>65</v>
      </c>
      <c r="H22" s="9" t="s">
        <v>65</v>
      </c>
      <c r="I22" s="9" t="s">
        <v>65</v>
      </c>
      <c r="J22" s="9" t="s">
        <v>65</v>
      </c>
      <c r="K22" s="9" t="s">
        <v>798</v>
      </c>
      <c r="L22" s="9" t="s">
        <v>799</v>
      </c>
      <c r="M22" s="6" t="s">
        <v>800</v>
      </c>
      <c r="N22" s="6" t="s">
        <v>483</v>
      </c>
      <c r="O22" s="6" t="s">
        <v>1660</v>
      </c>
      <c r="P22" s="6" t="s">
        <v>827</v>
      </c>
      <c r="Q22" s="12" t="s">
        <v>1661</v>
      </c>
      <c r="R22" s="12" t="s">
        <v>1662</v>
      </c>
      <c r="S22" s="12" t="s">
        <v>1666</v>
      </c>
      <c r="T22" s="12" t="s">
        <v>1664</v>
      </c>
      <c r="U22" s="6" t="s">
        <v>842</v>
      </c>
      <c r="V22" s="6" t="s">
        <v>1665</v>
      </c>
    </row>
    <row r="23" spans="1:22" ht="89.25" x14ac:dyDescent="0.25">
      <c r="A23" s="6" t="s">
        <v>843</v>
      </c>
      <c r="B23" s="6" t="s">
        <v>495</v>
      </c>
      <c r="C23" s="6" t="s">
        <v>496</v>
      </c>
      <c r="D23" s="6" t="s">
        <v>513</v>
      </c>
      <c r="E23" s="6" t="s">
        <v>514</v>
      </c>
      <c r="F23" s="6" t="s">
        <v>797</v>
      </c>
      <c r="G23" s="9" t="s">
        <v>65</v>
      </c>
      <c r="H23" s="9" t="s">
        <v>65</v>
      </c>
      <c r="I23" s="9" t="s">
        <v>65</v>
      </c>
      <c r="J23" s="9" t="s">
        <v>65</v>
      </c>
      <c r="K23" s="9" t="s">
        <v>798</v>
      </c>
      <c r="L23" s="9" t="s">
        <v>799</v>
      </c>
      <c r="M23" s="6" t="s">
        <v>800</v>
      </c>
      <c r="N23" s="6" t="s">
        <v>483</v>
      </c>
      <c r="O23" s="6" t="s">
        <v>1660</v>
      </c>
      <c r="P23" s="6" t="s">
        <v>827</v>
      </c>
      <c r="Q23" s="12" t="s">
        <v>1661</v>
      </c>
      <c r="R23" s="12" t="s">
        <v>1662</v>
      </c>
      <c r="S23" s="12" t="s">
        <v>1666</v>
      </c>
      <c r="T23" s="12" t="s">
        <v>1664</v>
      </c>
      <c r="U23" s="6" t="s">
        <v>844</v>
      </c>
      <c r="V23" s="6" t="s">
        <v>1665</v>
      </c>
    </row>
    <row r="24" spans="1:22" ht="89.25" x14ac:dyDescent="0.25">
      <c r="A24" s="6" t="s">
        <v>845</v>
      </c>
      <c r="B24" s="6" t="s">
        <v>495</v>
      </c>
      <c r="C24" s="6" t="s">
        <v>496</v>
      </c>
      <c r="D24" s="6" t="s">
        <v>516</v>
      </c>
      <c r="E24" s="6" t="s">
        <v>517</v>
      </c>
      <c r="F24" s="6" t="s">
        <v>797</v>
      </c>
      <c r="G24" s="9" t="s">
        <v>65</v>
      </c>
      <c r="H24" s="9" t="s">
        <v>65</v>
      </c>
      <c r="I24" s="9" t="s">
        <v>65</v>
      </c>
      <c r="J24" s="9" t="s">
        <v>65</v>
      </c>
      <c r="K24" s="9" t="s">
        <v>798</v>
      </c>
      <c r="L24" s="9" t="s">
        <v>799</v>
      </c>
      <c r="M24" s="6" t="s">
        <v>800</v>
      </c>
      <c r="N24" s="6" t="s">
        <v>483</v>
      </c>
      <c r="O24" s="6" t="s">
        <v>1660</v>
      </c>
      <c r="P24" s="6" t="s">
        <v>827</v>
      </c>
      <c r="Q24" s="12" t="s">
        <v>1661</v>
      </c>
      <c r="R24" s="12" t="s">
        <v>1662</v>
      </c>
      <c r="S24" s="12" t="s">
        <v>1666</v>
      </c>
      <c r="T24" s="12" t="s">
        <v>1664</v>
      </c>
      <c r="U24" s="6" t="s">
        <v>846</v>
      </c>
      <c r="V24" s="6" t="s">
        <v>1665</v>
      </c>
    </row>
    <row r="25" spans="1:22" ht="89.25" x14ac:dyDescent="0.25">
      <c r="A25" s="6" t="s">
        <v>847</v>
      </c>
      <c r="B25" s="6" t="s">
        <v>495</v>
      </c>
      <c r="C25" s="6" t="s">
        <v>496</v>
      </c>
      <c r="D25" s="6" t="s">
        <v>519</v>
      </c>
      <c r="E25" s="6" t="s">
        <v>520</v>
      </c>
      <c r="F25" s="6" t="s">
        <v>797</v>
      </c>
      <c r="G25" s="9" t="s">
        <v>65</v>
      </c>
      <c r="H25" s="9" t="s">
        <v>65</v>
      </c>
      <c r="I25" s="9" t="s">
        <v>65</v>
      </c>
      <c r="J25" s="9" t="s">
        <v>65</v>
      </c>
      <c r="K25" s="9" t="s">
        <v>798</v>
      </c>
      <c r="L25" s="9" t="s">
        <v>799</v>
      </c>
      <c r="M25" s="6" t="s">
        <v>800</v>
      </c>
      <c r="N25" s="6" t="s">
        <v>483</v>
      </c>
      <c r="O25" s="6" t="s">
        <v>1660</v>
      </c>
      <c r="P25" s="6" t="s">
        <v>827</v>
      </c>
      <c r="Q25" s="12" t="s">
        <v>1661</v>
      </c>
      <c r="R25" s="12" t="s">
        <v>1662</v>
      </c>
      <c r="S25" s="12" t="s">
        <v>1666</v>
      </c>
      <c r="T25" s="12" t="s">
        <v>1664</v>
      </c>
      <c r="U25" s="6" t="s">
        <v>848</v>
      </c>
      <c r="V25" s="6" t="s">
        <v>1665</v>
      </c>
    </row>
    <row r="26" spans="1:22" ht="89.25" x14ac:dyDescent="0.25">
      <c r="A26" s="6" t="s">
        <v>849</v>
      </c>
      <c r="B26" s="6" t="s">
        <v>495</v>
      </c>
      <c r="C26" s="6" t="s">
        <v>496</v>
      </c>
      <c r="D26" s="6" t="s">
        <v>522</v>
      </c>
      <c r="E26" s="6" t="s">
        <v>523</v>
      </c>
      <c r="F26" s="6" t="s">
        <v>797</v>
      </c>
      <c r="G26" s="9" t="s">
        <v>65</v>
      </c>
      <c r="H26" s="9" t="s">
        <v>65</v>
      </c>
      <c r="I26" s="9" t="s">
        <v>65</v>
      </c>
      <c r="J26" s="9" t="s">
        <v>65</v>
      </c>
      <c r="K26" s="9" t="s">
        <v>798</v>
      </c>
      <c r="L26" s="9" t="s">
        <v>799</v>
      </c>
      <c r="M26" s="6" t="s">
        <v>800</v>
      </c>
      <c r="N26" s="6" t="s">
        <v>483</v>
      </c>
      <c r="O26" s="6" t="s">
        <v>1660</v>
      </c>
      <c r="P26" s="6" t="s">
        <v>827</v>
      </c>
      <c r="Q26" s="12" t="s">
        <v>1661</v>
      </c>
      <c r="R26" s="12" t="s">
        <v>1662</v>
      </c>
      <c r="S26" s="12" t="s">
        <v>1666</v>
      </c>
      <c r="T26" s="12" t="s">
        <v>1664</v>
      </c>
      <c r="U26" s="6" t="s">
        <v>850</v>
      </c>
      <c r="V26" s="6" t="s">
        <v>1665</v>
      </c>
    </row>
    <row r="27" spans="1:22" ht="89.25" x14ac:dyDescent="0.25">
      <c r="A27" s="6" t="s">
        <v>851</v>
      </c>
      <c r="B27" s="6" t="s">
        <v>525</v>
      </c>
      <c r="C27" s="6" t="s">
        <v>526</v>
      </c>
      <c r="D27" s="6" t="s">
        <v>528</v>
      </c>
      <c r="E27" s="6" t="s">
        <v>529</v>
      </c>
      <c r="F27" s="6" t="s">
        <v>797</v>
      </c>
      <c r="G27" s="9" t="s">
        <v>65</v>
      </c>
      <c r="H27" s="9" t="s">
        <v>65</v>
      </c>
      <c r="I27" s="9" t="s">
        <v>65</v>
      </c>
      <c r="J27" s="9" t="s">
        <v>65</v>
      </c>
      <c r="K27" s="9" t="s">
        <v>798</v>
      </c>
      <c r="L27" s="9" t="s">
        <v>799</v>
      </c>
      <c r="M27" s="6" t="s">
        <v>800</v>
      </c>
      <c r="N27" s="6" t="s">
        <v>483</v>
      </c>
      <c r="O27" s="6" t="s">
        <v>1660</v>
      </c>
      <c r="P27" s="6" t="s">
        <v>827</v>
      </c>
      <c r="Q27" s="12" t="s">
        <v>1661</v>
      </c>
      <c r="R27" s="12" t="s">
        <v>1662</v>
      </c>
      <c r="S27" s="12" t="s">
        <v>1668</v>
      </c>
      <c r="T27" s="12" t="s">
        <v>1664</v>
      </c>
      <c r="U27" s="6" t="s">
        <v>852</v>
      </c>
      <c r="V27" s="6" t="s">
        <v>1665</v>
      </c>
    </row>
    <row r="28" spans="1:22" ht="89.25" x14ac:dyDescent="0.25">
      <c r="A28" s="6" t="s">
        <v>853</v>
      </c>
      <c r="B28" s="6" t="s">
        <v>525</v>
      </c>
      <c r="C28" s="6" t="s">
        <v>526</v>
      </c>
      <c r="D28" s="6" t="s">
        <v>531</v>
      </c>
      <c r="E28" s="6" t="s">
        <v>532</v>
      </c>
      <c r="F28" s="6" t="s">
        <v>797</v>
      </c>
      <c r="G28" s="9" t="s">
        <v>65</v>
      </c>
      <c r="H28" s="9" t="s">
        <v>65</v>
      </c>
      <c r="I28" s="9" t="s">
        <v>65</v>
      </c>
      <c r="J28" s="9" t="s">
        <v>65</v>
      </c>
      <c r="K28" s="9" t="s">
        <v>798</v>
      </c>
      <c r="L28" s="9" t="s">
        <v>799</v>
      </c>
      <c r="M28" s="6" t="s">
        <v>800</v>
      </c>
      <c r="N28" s="6" t="s">
        <v>483</v>
      </c>
      <c r="O28" s="6" t="s">
        <v>1660</v>
      </c>
      <c r="P28" s="6" t="s">
        <v>827</v>
      </c>
      <c r="Q28" s="12" t="s">
        <v>1661</v>
      </c>
      <c r="R28" s="12" t="s">
        <v>1662</v>
      </c>
      <c r="S28" s="12" t="s">
        <v>1668</v>
      </c>
      <c r="T28" s="12" t="s">
        <v>1664</v>
      </c>
      <c r="U28" s="6" t="s">
        <v>854</v>
      </c>
      <c r="V28" s="6" t="s">
        <v>1665</v>
      </c>
    </row>
    <row r="29" spans="1:22" ht="89.25" x14ac:dyDescent="0.25">
      <c r="A29" s="6" t="s">
        <v>855</v>
      </c>
      <c r="B29" s="6" t="s">
        <v>534</v>
      </c>
      <c r="C29" s="6" t="s">
        <v>535</v>
      </c>
      <c r="D29" s="6" t="s">
        <v>537</v>
      </c>
      <c r="E29" s="6" t="s">
        <v>538</v>
      </c>
      <c r="F29" s="6" t="s">
        <v>797</v>
      </c>
      <c r="G29" s="9" t="s">
        <v>65</v>
      </c>
      <c r="H29" s="9" t="s">
        <v>65</v>
      </c>
      <c r="I29" s="9" t="s">
        <v>65</v>
      </c>
      <c r="J29" s="9" t="s">
        <v>65</v>
      </c>
      <c r="K29" s="9" t="s">
        <v>798</v>
      </c>
      <c r="L29" s="9" t="s">
        <v>799</v>
      </c>
      <c r="M29" s="6" t="s">
        <v>800</v>
      </c>
      <c r="N29" s="6" t="s">
        <v>483</v>
      </c>
      <c r="O29" s="6" t="s">
        <v>1660</v>
      </c>
      <c r="P29" s="6" t="s">
        <v>827</v>
      </c>
      <c r="Q29" s="12" t="s">
        <v>1661</v>
      </c>
      <c r="R29" s="12" t="s">
        <v>1662</v>
      </c>
      <c r="S29" s="12" t="s">
        <v>1669</v>
      </c>
      <c r="T29" s="12" t="s">
        <v>1664</v>
      </c>
      <c r="U29" s="6" t="s">
        <v>856</v>
      </c>
      <c r="V29" s="6" t="s">
        <v>1665</v>
      </c>
    </row>
    <row r="30" spans="1:22" ht="89.25" x14ac:dyDescent="0.25">
      <c r="A30" s="6" t="s">
        <v>857</v>
      </c>
      <c r="B30" s="6" t="s">
        <v>534</v>
      </c>
      <c r="C30" s="6" t="s">
        <v>535</v>
      </c>
      <c r="D30" s="6" t="s">
        <v>540</v>
      </c>
      <c r="E30" s="6" t="s">
        <v>541</v>
      </c>
      <c r="F30" s="6" t="s">
        <v>797</v>
      </c>
      <c r="G30" s="9" t="s">
        <v>65</v>
      </c>
      <c r="H30" s="9" t="s">
        <v>65</v>
      </c>
      <c r="I30" s="9" t="s">
        <v>65</v>
      </c>
      <c r="J30" s="9" t="s">
        <v>65</v>
      </c>
      <c r="K30" s="9" t="s">
        <v>798</v>
      </c>
      <c r="L30" s="9" t="s">
        <v>799</v>
      </c>
      <c r="M30" s="6" t="s">
        <v>800</v>
      </c>
      <c r="N30" s="6" t="s">
        <v>483</v>
      </c>
      <c r="O30" s="6" t="s">
        <v>1660</v>
      </c>
      <c r="P30" s="6" t="s">
        <v>827</v>
      </c>
      <c r="Q30" s="12" t="s">
        <v>1661</v>
      </c>
      <c r="R30" s="12" t="s">
        <v>1662</v>
      </c>
      <c r="S30" s="12" t="s">
        <v>1669</v>
      </c>
      <c r="T30" s="12" t="s">
        <v>1664</v>
      </c>
      <c r="U30" s="6" t="s">
        <v>858</v>
      </c>
      <c r="V30" s="6" t="s">
        <v>1665</v>
      </c>
    </row>
    <row r="31" spans="1:22" ht="89.25" x14ac:dyDescent="0.25">
      <c r="A31" s="6" t="s">
        <v>859</v>
      </c>
      <c r="B31" s="6" t="s">
        <v>534</v>
      </c>
      <c r="C31" s="6" t="s">
        <v>535</v>
      </c>
      <c r="D31" s="6" t="s">
        <v>543</v>
      </c>
      <c r="E31" s="6" t="s">
        <v>544</v>
      </c>
      <c r="F31" s="6" t="s">
        <v>797</v>
      </c>
      <c r="G31" s="9" t="s">
        <v>65</v>
      </c>
      <c r="H31" s="9" t="s">
        <v>65</v>
      </c>
      <c r="I31" s="9" t="s">
        <v>65</v>
      </c>
      <c r="J31" s="9" t="s">
        <v>65</v>
      </c>
      <c r="K31" s="9" t="s">
        <v>798</v>
      </c>
      <c r="L31" s="9" t="s">
        <v>799</v>
      </c>
      <c r="M31" s="6" t="s">
        <v>800</v>
      </c>
      <c r="N31" s="6" t="s">
        <v>483</v>
      </c>
      <c r="O31" s="6" t="s">
        <v>1660</v>
      </c>
      <c r="P31" s="6" t="s">
        <v>827</v>
      </c>
      <c r="Q31" s="12" t="s">
        <v>1661</v>
      </c>
      <c r="R31" s="12" t="s">
        <v>1662</v>
      </c>
      <c r="S31" s="12" t="s">
        <v>1669</v>
      </c>
      <c r="T31" s="12" t="s">
        <v>1664</v>
      </c>
      <c r="U31" s="6" t="s">
        <v>860</v>
      </c>
      <c r="V31" s="6" t="s">
        <v>1665</v>
      </c>
    </row>
    <row r="32" spans="1:22" ht="89.25" x14ac:dyDescent="0.25">
      <c r="A32" s="6" t="s">
        <v>861</v>
      </c>
      <c r="B32" s="6" t="s">
        <v>534</v>
      </c>
      <c r="C32" s="6" t="s">
        <v>535</v>
      </c>
      <c r="D32" s="6" t="s">
        <v>546</v>
      </c>
      <c r="E32" s="6" t="s">
        <v>547</v>
      </c>
      <c r="F32" s="6" t="s">
        <v>797</v>
      </c>
      <c r="G32" s="9" t="s">
        <v>65</v>
      </c>
      <c r="H32" s="9" t="s">
        <v>65</v>
      </c>
      <c r="I32" s="9" t="s">
        <v>65</v>
      </c>
      <c r="J32" s="9" t="s">
        <v>65</v>
      </c>
      <c r="K32" s="9" t="s">
        <v>798</v>
      </c>
      <c r="L32" s="9" t="s">
        <v>799</v>
      </c>
      <c r="M32" s="6" t="s">
        <v>800</v>
      </c>
      <c r="N32" s="6" t="s">
        <v>483</v>
      </c>
      <c r="O32" s="6" t="s">
        <v>1660</v>
      </c>
      <c r="P32" s="6" t="s">
        <v>827</v>
      </c>
      <c r="Q32" s="12" t="s">
        <v>1661</v>
      </c>
      <c r="R32" s="12" t="s">
        <v>1662</v>
      </c>
      <c r="S32" s="12" t="s">
        <v>1669</v>
      </c>
      <c r="T32" s="12" t="s">
        <v>1664</v>
      </c>
      <c r="U32" s="6" t="s">
        <v>862</v>
      </c>
      <c r="V32" s="6" t="s">
        <v>1665</v>
      </c>
    </row>
    <row r="33" spans="1:22" ht="38.25" x14ac:dyDescent="0.25">
      <c r="A33" s="6" t="s">
        <v>863</v>
      </c>
      <c r="B33" s="6" t="s">
        <v>552</v>
      </c>
      <c r="C33" s="6" t="s">
        <v>554</v>
      </c>
      <c r="D33" s="6" t="s">
        <v>556</v>
      </c>
      <c r="E33" s="6" t="s">
        <v>557</v>
      </c>
      <c r="F33" s="6" t="s">
        <v>797</v>
      </c>
      <c r="G33" s="9" t="s">
        <v>65</v>
      </c>
      <c r="H33" s="9" t="s">
        <v>65</v>
      </c>
      <c r="I33" s="9" t="s">
        <v>65</v>
      </c>
      <c r="J33" s="9" t="s">
        <v>65</v>
      </c>
      <c r="K33" s="9" t="s">
        <v>798</v>
      </c>
      <c r="L33" s="9" t="s">
        <v>799</v>
      </c>
      <c r="M33" s="6" t="s">
        <v>800</v>
      </c>
      <c r="N33" s="6" t="s">
        <v>553</v>
      </c>
      <c r="O33" s="6" t="s">
        <v>801</v>
      </c>
      <c r="P33" s="6" t="s">
        <v>802</v>
      </c>
      <c r="Q33" s="12" t="s">
        <v>71</v>
      </c>
      <c r="R33" s="12" t="s">
        <v>803</v>
      </c>
      <c r="S33" s="12" t="s">
        <v>804</v>
      </c>
      <c r="T33" s="12" t="s">
        <v>30</v>
      </c>
      <c r="U33" s="6" t="s">
        <v>864</v>
      </c>
      <c r="V33" s="6" t="s">
        <v>806</v>
      </c>
    </row>
    <row r="34" spans="1:22" ht="38.25" x14ac:dyDescent="0.25">
      <c r="A34" s="6" t="s">
        <v>865</v>
      </c>
      <c r="B34" s="6" t="s">
        <v>562</v>
      </c>
      <c r="C34" s="6" t="s">
        <v>563</v>
      </c>
      <c r="D34" s="6" t="s">
        <v>565</v>
      </c>
      <c r="E34" s="6" t="s">
        <v>566</v>
      </c>
      <c r="F34" s="6" t="s">
        <v>797</v>
      </c>
      <c r="G34" s="9" t="s">
        <v>65</v>
      </c>
      <c r="H34" s="9" t="s">
        <v>65</v>
      </c>
      <c r="I34" s="9" t="s">
        <v>65</v>
      </c>
      <c r="J34" s="9" t="s">
        <v>65</v>
      </c>
      <c r="K34" s="9" t="s">
        <v>798</v>
      </c>
      <c r="L34" s="9" t="s">
        <v>799</v>
      </c>
      <c r="M34" s="6" t="s">
        <v>800</v>
      </c>
      <c r="N34" s="6" t="s">
        <v>553</v>
      </c>
      <c r="O34" s="6" t="s">
        <v>801</v>
      </c>
      <c r="P34" s="6" t="s">
        <v>802</v>
      </c>
      <c r="Q34" s="12" t="s">
        <v>71</v>
      </c>
      <c r="R34" s="12" t="s">
        <v>803</v>
      </c>
      <c r="S34" s="12" t="s">
        <v>804</v>
      </c>
      <c r="T34" s="12" t="s">
        <v>30</v>
      </c>
      <c r="U34" s="6" t="s">
        <v>866</v>
      </c>
      <c r="V34" s="6" t="s">
        <v>806</v>
      </c>
    </row>
    <row r="35" spans="1:22" ht="38.25" x14ac:dyDescent="0.25">
      <c r="A35" s="6" t="s">
        <v>867</v>
      </c>
      <c r="B35" s="6" t="s">
        <v>562</v>
      </c>
      <c r="C35" s="6" t="s">
        <v>563</v>
      </c>
      <c r="D35" s="6" t="s">
        <v>568</v>
      </c>
      <c r="E35" s="6" t="s">
        <v>569</v>
      </c>
      <c r="F35" s="6" t="s">
        <v>797</v>
      </c>
      <c r="G35" s="9" t="s">
        <v>65</v>
      </c>
      <c r="H35" s="9" t="s">
        <v>65</v>
      </c>
      <c r="I35" s="9" t="s">
        <v>65</v>
      </c>
      <c r="J35" s="9" t="s">
        <v>65</v>
      </c>
      <c r="K35" s="9" t="s">
        <v>798</v>
      </c>
      <c r="L35" s="9" t="s">
        <v>799</v>
      </c>
      <c r="M35" s="6" t="s">
        <v>800</v>
      </c>
      <c r="N35" s="6" t="s">
        <v>553</v>
      </c>
      <c r="O35" s="6" t="s">
        <v>801</v>
      </c>
      <c r="P35" s="6" t="s">
        <v>802</v>
      </c>
      <c r="Q35" s="12" t="s">
        <v>71</v>
      </c>
      <c r="R35" s="12" t="s">
        <v>803</v>
      </c>
      <c r="S35" s="12" t="s">
        <v>804</v>
      </c>
      <c r="T35" s="12" t="s">
        <v>30</v>
      </c>
      <c r="U35" s="6" t="s">
        <v>868</v>
      </c>
      <c r="V35" s="6" t="s">
        <v>806</v>
      </c>
    </row>
    <row r="36" spans="1:22" ht="38.25" x14ac:dyDescent="0.25">
      <c r="A36" s="6" t="s">
        <v>869</v>
      </c>
      <c r="B36" s="6" t="s">
        <v>571</v>
      </c>
      <c r="C36" s="6" t="s">
        <v>572</v>
      </c>
      <c r="D36" s="6" t="s">
        <v>574</v>
      </c>
      <c r="E36" s="6" t="s">
        <v>575</v>
      </c>
      <c r="F36" s="6" t="s">
        <v>797</v>
      </c>
      <c r="G36" s="9" t="s">
        <v>65</v>
      </c>
      <c r="H36" s="9" t="s">
        <v>65</v>
      </c>
      <c r="I36" s="9" t="s">
        <v>65</v>
      </c>
      <c r="J36" s="9" t="s">
        <v>65</v>
      </c>
      <c r="K36" s="9" t="s">
        <v>798</v>
      </c>
      <c r="L36" s="9" t="s">
        <v>799</v>
      </c>
      <c r="M36" s="6" t="s">
        <v>800</v>
      </c>
      <c r="N36" s="6" t="s">
        <v>553</v>
      </c>
      <c r="O36" s="6" t="s">
        <v>801</v>
      </c>
      <c r="P36" s="6" t="s">
        <v>802</v>
      </c>
      <c r="Q36" s="12" t="s">
        <v>71</v>
      </c>
      <c r="R36" s="12" t="s">
        <v>803</v>
      </c>
      <c r="S36" s="12" t="s">
        <v>804</v>
      </c>
      <c r="T36" s="12" t="s">
        <v>30</v>
      </c>
      <c r="U36" s="6" t="s">
        <v>870</v>
      </c>
      <c r="V36" s="6" t="s">
        <v>806</v>
      </c>
    </row>
    <row r="37" spans="1:22" ht="38.25" x14ac:dyDescent="0.25">
      <c r="A37" s="6" t="s">
        <v>871</v>
      </c>
      <c r="B37" s="6" t="s">
        <v>577</v>
      </c>
      <c r="C37" s="6" t="s">
        <v>578</v>
      </c>
      <c r="D37" s="6" t="s">
        <v>580</v>
      </c>
      <c r="E37" s="6" t="s">
        <v>581</v>
      </c>
      <c r="F37" s="6" t="s">
        <v>797</v>
      </c>
      <c r="G37" s="9" t="s">
        <v>65</v>
      </c>
      <c r="H37" s="9" t="s">
        <v>439</v>
      </c>
      <c r="I37" s="9" t="s">
        <v>65</v>
      </c>
      <c r="J37" s="9" t="s">
        <v>439</v>
      </c>
      <c r="K37" s="9" t="s">
        <v>798</v>
      </c>
      <c r="L37" s="9" t="s">
        <v>799</v>
      </c>
      <c r="M37" s="6" t="s">
        <v>798</v>
      </c>
      <c r="N37" s="6" t="s">
        <v>553</v>
      </c>
      <c r="O37" s="6" t="s">
        <v>801</v>
      </c>
      <c r="P37" s="6" t="s">
        <v>802</v>
      </c>
      <c r="Q37" s="12" t="s">
        <v>71</v>
      </c>
      <c r="R37" s="12" t="s">
        <v>803</v>
      </c>
      <c r="S37" s="12" t="s">
        <v>804</v>
      </c>
      <c r="T37" s="12" t="s">
        <v>30</v>
      </c>
      <c r="U37" s="6" t="s">
        <v>872</v>
      </c>
      <c r="V37" s="6" t="s">
        <v>806</v>
      </c>
    </row>
    <row r="38" spans="1:22" ht="38.25" x14ac:dyDescent="0.25">
      <c r="A38" s="6" t="s">
        <v>873</v>
      </c>
      <c r="B38" s="6" t="s">
        <v>577</v>
      </c>
      <c r="C38" s="6" t="s">
        <v>578</v>
      </c>
      <c r="D38" s="6" t="s">
        <v>583</v>
      </c>
      <c r="E38" s="6" t="s">
        <v>584</v>
      </c>
      <c r="F38" s="6" t="s">
        <v>797</v>
      </c>
      <c r="G38" s="9" t="s">
        <v>65</v>
      </c>
      <c r="H38" s="9" t="s">
        <v>439</v>
      </c>
      <c r="I38" s="9" t="s">
        <v>65</v>
      </c>
      <c r="J38" s="9" t="s">
        <v>439</v>
      </c>
      <c r="K38" s="9" t="s">
        <v>798</v>
      </c>
      <c r="L38" s="9" t="s">
        <v>799</v>
      </c>
      <c r="M38" s="6" t="s">
        <v>798</v>
      </c>
      <c r="N38" s="6" t="s">
        <v>553</v>
      </c>
      <c r="O38" s="6" t="s">
        <v>801</v>
      </c>
      <c r="P38" s="6" t="s">
        <v>802</v>
      </c>
      <c r="Q38" s="12" t="s">
        <v>71</v>
      </c>
      <c r="R38" s="12" t="s">
        <v>803</v>
      </c>
      <c r="S38" s="12" t="s">
        <v>804</v>
      </c>
      <c r="T38" s="12" t="s">
        <v>30</v>
      </c>
      <c r="U38" s="6" t="s">
        <v>874</v>
      </c>
      <c r="V38" s="6" t="s">
        <v>806</v>
      </c>
    </row>
    <row r="39" spans="1:22" ht="38.25" x14ac:dyDescent="0.25">
      <c r="A39" s="6" t="s">
        <v>875</v>
      </c>
      <c r="B39" s="6" t="s">
        <v>589</v>
      </c>
      <c r="C39" s="6" t="s">
        <v>591</v>
      </c>
      <c r="D39" s="6" t="s">
        <v>593</v>
      </c>
      <c r="E39" s="6" t="s">
        <v>594</v>
      </c>
      <c r="F39" s="6" t="s">
        <v>797</v>
      </c>
      <c r="G39" s="9" t="s">
        <v>65</v>
      </c>
      <c r="H39" s="9" t="s">
        <v>65</v>
      </c>
      <c r="I39" s="9" t="s">
        <v>65</v>
      </c>
      <c r="J39" s="9" t="s">
        <v>65</v>
      </c>
      <c r="K39" s="9" t="s">
        <v>798</v>
      </c>
      <c r="L39" s="9" t="s">
        <v>799</v>
      </c>
      <c r="M39" s="6" t="s">
        <v>800</v>
      </c>
      <c r="N39" s="6" t="s">
        <v>590</v>
      </c>
      <c r="O39" s="6" t="s">
        <v>801</v>
      </c>
      <c r="P39" s="6" t="s">
        <v>802</v>
      </c>
      <c r="Q39" s="12" t="s">
        <v>71</v>
      </c>
      <c r="R39" s="12" t="s">
        <v>803</v>
      </c>
      <c r="S39" s="12" t="s">
        <v>804</v>
      </c>
      <c r="T39" s="12" t="s">
        <v>30</v>
      </c>
      <c r="U39" s="6" t="s">
        <v>876</v>
      </c>
      <c r="V39" s="6" t="s">
        <v>806</v>
      </c>
    </row>
    <row r="40" spans="1:22" ht="38.25" x14ac:dyDescent="0.25">
      <c r="A40" s="6" t="s">
        <v>877</v>
      </c>
      <c r="B40" s="6" t="s">
        <v>596</v>
      </c>
      <c r="C40" s="6" t="s">
        <v>597</v>
      </c>
      <c r="D40" s="6" t="s">
        <v>599</v>
      </c>
      <c r="E40" s="6" t="s">
        <v>600</v>
      </c>
      <c r="F40" s="6" t="s">
        <v>797</v>
      </c>
      <c r="G40" s="9" t="s">
        <v>65</v>
      </c>
      <c r="H40" s="9" t="s">
        <v>65</v>
      </c>
      <c r="I40" s="9" t="s">
        <v>65</v>
      </c>
      <c r="J40" s="9" t="s">
        <v>65</v>
      </c>
      <c r="K40" s="9" t="s">
        <v>798</v>
      </c>
      <c r="L40" s="9" t="s">
        <v>799</v>
      </c>
      <c r="M40" s="6" t="s">
        <v>800</v>
      </c>
      <c r="N40" s="6" t="s">
        <v>590</v>
      </c>
      <c r="O40" s="6" t="s">
        <v>801</v>
      </c>
      <c r="P40" s="6" t="s">
        <v>802</v>
      </c>
      <c r="Q40" s="12" t="s">
        <v>71</v>
      </c>
      <c r="R40" s="12" t="s">
        <v>803</v>
      </c>
      <c r="S40" s="12" t="s">
        <v>804</v>
      </c>
      <c r="T40" s="12" t="s">
        <v>30</v>
      </c>
      <c r="U40" s="6" t="s">
        <v>878</v>
      </c>
      <c r="V40" s="6" t="s">
        <v>806</v>
      </c>
    </row>
    <row r="41" spans="1:22" ht="38.25" x14ac:dyDescent="0.25">
      <c r="A41" s="6" t="s">
        <v>879</v>
      </c>
      <c r="B41" s="6" t="s">
        <v>602</v>
      </c>
      <c r="C41" s="6" t="s">
        <v>603</v>
      </c>
      <c r="D41" s="6" t="s">
        <v>605</v>
      </c>
      <c r="E41" s="6" t="s">
        <v>606</v>
      </c>
      <c r="F41" s="6" t="s">
        <v>797</v>
      </c>
      <c r="G41" s="9" t="s">
        <v>65</v>
      </c>
      <c r="H41" s="9" t="s">
        <v>65</v>
      </c>
      <c r="I41" s="9" t="s">
        <v>65</v>
      </c>
      <c r="J41" s="9" t="s">
        <v>65</v>
      </c>
      <c r="K41" s="9" t="s">
        <v>798</v>
      </c>
      <c r="L41" s="9" t="s">
        <v>799</v>
      </c>
      <c r="M41" s="6" t="s">
        <v>800</v>
      </c>
      <c r="N41" s="6" t="s">
        <v>590</v>
      </c>
      <c r="O41" s="6" t="s">
        <v>801</v>
      </c>
      <c r="P41" s="6" t="s">
        <v>802</v>
      </c>
      <c r="Q41" s="12" t="s">
        <v>71</v>
      </c>
      <c r="R41" s="12" t="s">
        <v>803</v>
      </c>
      <c r="S41" s="12" t="s">
        <v>804</v>
      </c>
      <c r="T41" s="12" t="s">
        <v>30</v>
      </c>
      <c r="U41" s="6" t="s">
        <v>880</v>
      </c>
      <c r="V41" s="6" t="s">
        <v>806</v>
      </c>
    </row>
    <row r="42" spans="1:22" ht="38.25" x14ac:dyDescent="0.25">
      <c r="A42" s="6" t="s">
        <v>881</v>
      </c>
      <c r="B42" s="6" t="s">
        <v>608</v>
      </c>
      <c r="C42" s="6" t="s">
        <v>609</v>
      </c>
      <c r="D42" s="6" t="s">
        <v>611</v>
      </c>
      <c r="E42" s="6" t="s">
        <v>612</v>
      </c>
      <c r="F42" s="6" t="s">
        <v>797</v>
      </c>
      <c r="G42" s="9" t="s">
        <v>65</v>
      </c>
      <c r="H42" s="9" t="s">
        <v>439</v>
      </c>
      <c r="I42" s="9" t="s">
        <v>65</v>
      </c>
      <c r="J42" s="9" t="s">
        <v>439</v>
      </c>
      <c r="K42" s="9" t="s">
        <v>798</v>
      </c>
      <c r="L42" s="9" t="s">
        <v>799</v>
      </c>
      <c r="M42" s="6" t="s">
        <v>798</v>
      </c>
      <c r="N42" s="6" t="s">
        <v>590</v>
      </c>
      <c r="O42" s="6" t="s">
        <v>801</v>
      </c>
      <c r="P42" s="6" t="s">
        <v>802</v>
      </c>
      <c r="Q42" s="12" t="s">
        <v>71</v>
      </c>
      <c r="R42" s="12" t="s">
        <v>803</v>
      </c>
      <c r="S42" s="12" t="s">
        <v>804</v>
      </c>
      <c r="T42" s="12" t="s">
        <v>30</v>
      </c>
      <c r="U42" s="6" t="s">
        <v>882</v>
      </c>
      <c r="V42" s="6" t="s">
        <v>806</v>
      </c>
    </row>
    <row r="43" spans="1:22" ht="38.25" x14ac:dyDescent="0.25">
      <c r="A43" s="6" t="s">
        <v>883</v>
      </c>
      <c r="B43" s="6" t="s">
        <v>608</v>
      </c>
      <c r="C43" s="6" t="s">
        <v>609</v>
      </c>
      <c r="D43" s="6" t="s">
        <v>614</v>
      </c>
      <c r="E43" s="6" t="s">
        <v>615</v>
      </c>
      <c r="F43" s="6" t="s">
        <v>797</v>
      </c>
      <c r="G43" s="9" t="s">
        <v>65</v>
      </c>
      <c r="H43" s="9" t="s">
        <v>439</v>
      </c>
      <c r="I43" s="9" t="s">
        <v>65</v>
      </c>
      <c r="J43" s="9" t="s">
        <v>439</v>
      </c>
      <c r="K43" s="9" t="s">
        <v>798</v>
      </c>
      <c r="L43" s="9" t="s">
        <v>799</v>
      </c>
      <c r="M43" s="6" t="s">
        <v>798</v>
      </c>
      <c r="N43" s="6" t="s">
        <v>590</v>
      </c>
      <c r="O43" s="6" t="s">
        <v>801</v>
      </c>
      <c r="P43" s="6" t="s">
        <v>802</v>
      </c>
      <c r="Q43" s="12" t="s">
        <v>71</v>
      </c>
      <c r="R43" s="12" t="s">
        <v>803</v>
      </c>
      <c r="S43" s="12" t="s">
        <v>804</v>
      </c>
      <c r="T43" s="12" t="s">
        <v>30</v>
      </c>
      <c r="U43" s="6" t="s">
        <v>884</v>
      </c>
      <c r="V43" s="6" t="s">
        <v>806</v>
      </c>
    </row>
    <row r="44" spans="1:22" ht="38.25" x14ac:dyDescent="0.25">
      <c r="A44" s="6" t="s">
        <v>885</v>
      </c>
      <c r="B44" s="6" t="s">
        <v>620</v>
      </c>
      <c r="C44" s="6" t="s">
        <v>622</v>
      </c>
      <c r="D44" s="6" t="s">
        <v>624</v>
      </c>
      <c r="E44" s="6" t="s">
        <v>625</v>
      </c>
      <c r="F44" s="6" t="s">
        <v>797</v>
      </c>
      <c r="G44" s="9" t="s">
        <v>65</v>
      </c>
      <c r="H44" s="9" t="s">
        <v>65</v>
      </c>
      <c r="I44" s="9" t="s">
        <v>65</v>
      </c>
      <c r="J44" s="9" t="s">
        <v>65</v>
      </c>
      <c r="K44" s="9" t="s">
        <v>798</v>
      </c>
      <c r="L44" s="9" t="s">
        <v>799</v>
      </c>
      <c r="M44" s="6" t="s">
        <v>800</v>
      </c>
      <c r="N44" s="6" t="s">
        <v>621</v>
      </c>
      <c r="O44" s="6" t="s">
        <v>801</v>
      </c>
      <c r="P44" s="6" t="s">
        <v>802</v>
      </c>
      <c r="Q44" s="12" t="s">
        <v>71</v>
      </c>
      <c r="R44" s="12" t="s">
        <v>803</v>
      </c>
      <c r="S44" s="12" t="s">
        <v>804</v>
      </c>
      <c r="T44" s="12" t="s">
        <v>30</v>
      </c>
      <c r="U44" s="6" t="s">
        <v>886</v>
      </c>
      <c r="V44" s="6" t="s">
        <v>806</v>
      </c>
    </row>
    <row r="45" spans="1:22" ht="38.25" x14ac:dyDescent="0.25">
      <c r="A45" s="6" t="s">
        <v>887</v>
      </c>
      <c r="B45" s="6" t="s">
        <v>627</v>
      </c>
      <c r="C45" s="6" t="s">
        <v>628</v>
      </c>
      <c r="D45" s="6" t="s">
        <v>630</v>
      </c>
      <c r="E45" s="6" t="s">
        <v>631</v>
      </c>
      <c r="F45" s="6" t="s">
        <v>797</v>
      </c>
      <c r="G45" s="9" t="s">
        <v>65</v>
      </c>
      <c r="H45" s="9" t="s">
        <v>65</v>
      </c>
      <c r="I45" s="9" t="s">
        <v>65</v>
      </c>
      <c r="J45" s="9" t="s">
        <v>65</v>
      </c>
      <c r="K45" s="9" t="s">
        <v>798</v>
      </c>
      <c r="L45" s="9" t="s">
        <v>799</v>
      </c>
      <c r="M45" s="6" t="s">
        <v>800</v>
      </c>
      <c r="N45" s="6" t="s">
        <v>621</v>
      </c>
      <c r="O45" s="6" t="s">
        <v>801</v>
      </c>
      <c r="P45" s="6" t="s">
        <v>802</v>
      </c>
      <c r="Q45" s="12" t="s">
        <v>71</v>
      </c>
      <c r="R45" s="12" t="s">
        <v>803</v>
      </c>
      <c r="S45" s="12" t="s">
        <v>804</v>
      </c>
      <c r="T45" s="12" t="s">
        <v>30</v>
      </c>
      <c r="U45" s="6" t="s">
        <v>888</v>
      </c>
      <c r="V45" s="6" t="s">
        <v>806</v>
      </c>
    </row>
    <row r="46" spans="1:22" ht="38.25" x14ac:dyDescent="0.25">
      <c r="A46" s="6" t="s">
        <v>889</v>
      </c>
      <c r="B46" s="6" t="s">
        <v>633</v>
      </c>
      <c r="C46" s="6" t="s">
        <v>634</v>
      </c>
      <c r="D46" s="6" t="s">
        <v>636</v>
      </c>
      <c r="E46" s="6" t="s">
        <v>637</v>
      </c>
      <c r="F46" s="6" t="s">
        <v>797</v>
      </c>
      <c r="G46" s="9" t="s">
        <v>65</v>
      </c>
      <c r="H46" s="9" t="s">
        <v>65</v>
      </c>
      <c r="I46" s="9" t="s">
        <v>65</v>
      </c>
      <c r="J46" s="9" t="s">
        <v>65</v>
      </c>
      <c r="K46" s="9" t="s">
        <v>798</v>
      </c>
      <c r="L46" s="9" t="s">
        <v>799</v>
      </c>
      <c r="M46" s="6" t="s">
        <v>800</v>
      </c>
      <c r="N46" s="6" t="s">
        <v>621</v>
      </c>
      <c r="O46" s="6" t="s">
        <v>801</v>
      </c>
      <c r="P46" s="6" t="s">
        <v>802</v>
      </c>
      <c r="Q46" s="12" t="s">
        <v>71</v>
      </c>
      <c r="R46" s="12" t="s">
        <v>803</v>
      </c>
      <c r="S46" s="12" t="s">
        <v>804</v>
      </c>
      <c r="T46" s="12" t="s">
        <v>30</v>
      </c>
      <c r="U46" s="6" t="s">
        <v>890</v>
      </c>
      <c r="V46" s="6" t="s">
        <v>806</v>
      </c>
    </row>
    <row r="47" spans="1:22" ht="38.25" x14ac:dyDescent="0.25">
      <c r="A47" s="6" t="s">
        <v>891</v>
      </c>
      <c r="B47" s="6" t="s">
        <v>639</v>
      </c>
      <c r="C47" s="6" t="s">
        <v>640</v>
      </c>
      <c r="D47" s="6" t="s">
        <v>642</v>
      </c>
      <c r="E47" s="6" t="s">
        <v>643</v>
      </c>
      <c r="F47" s="6" t="s">
        <v>797</v>
      </c>
      <c r="G47" s="9" t="s">
        <v>65</v>
      </c>
      <c r="H47" s="9" t="s">
        <v>439</v>
      </c>
      <c r="I47" s="9" t="s">
        <v>65</v>
      </c>
      <c r="J47" s="9" t="s">
        <v>439</v>
      </c>
      <c r="K47" s="9" t="s">
        <v>798</v>
      </c>
      <c r="L47" s="9" t="s">
        <v>799</v>
      </c>
      <c r="M47" s="6" t="s">
        <v>798</v>
      </c>
      <c r="N47" s="6" t="s">
        <v>621</v>
      </c>
      <c r="O47" s="6" t="s">
        <v>801</v>
      </c>
      <c r="P47" s="6" t="s">
        <v>802</v>
      </c>
      <c r="Q47" s="12" t="s">
        <v>71</v>
      </c>
      <c r="R47" s="12" t="s">
        <v>803</v>
      </c>
      <c r="S47" s="12" t="s">
        <v>804</v>
      </c>
      <c r="T47" s="12" t="s">
        <v>30</v>
      </c>
      <c r="U47" s="6" t="s">
        <v>892</v>
      </c>
      <c r="V47" s="6" t="s">
        <v>806</v>
      </c>
    </row>
    <row r="48" spans="1:22" ht="38.25" x14ac:dyDescent="0.25">
      <c r="A48" s="6" t="s">
        <v>893</v>
      </c>
      <c r="B48" s="6" t="s">
        <v>639</v>
      </c>
      <c r="C48" s="6" t="s">
        <v>640</v>
      </c>
      <c r="D48" s="6" t="s">
        <v>645</v>
      </c>
      <c r="E48" s="6" t="s">
        <v>646</v>
      </c>
      <c r="F48" s="6" t="s">
        <v>797</v>
      </c>
      <c r="G48" s="9" t="s">
        <v>65</v>
      </c>
      <c r="H48" s="9" t="s">
        <v>439</v>
      </c>
      <c r="I48" s="9" t="s">
        <v>65</v>
      </c>
      <c r="J48" s="9" t="s">
        <v>439</v>
      </c>
      <c r="K48" s="9" t="s">
        <v>798</v>
      </c>
      <c r="L48" s="9" t="s">
        <v>799</v>
      </c>
      <c r="M48" s="6" t="s">
        <v>798</v>
      </c>
      <c r="N48" s="6" t="s">
        <v>621</v>
      </c>
      <c r="O48" s="6" t="s">
        <v>801</v>
      </c>
      <c r="P48" s="6" t="s">
        <v>802</v>
      </c>
      <c r="Q48" s="12" t="s">
        <v>71</v>
      </c>
      <c r="R48" s="12" t="s">
        <v>803</v>
      </c>
      <c r="S48" s="12" t="s">
        <v>804</v>
      </c>
      <c r="T48" s="12" t="s">
        <v>30</v>
      </c>
      <c r="U48" s="6" t="s">
        <v>894</v>
      </c>
      <c r="V48" s="6" t="s">
        <v>806</v>
      </c>
    </row>
    <row r="49" spans="1:22" ht="38.25" x14ac:dyDescent="0.25">
      <c r="A49" s="6" t="s">
        <v>895</v>
      </c>
      <c r="B49" s="6" t="s">
        <v>651</v>
      </c>
      <c r="C49" s="6" t="s">
        <v>653</v>
      </c>
      <c r="D49" s="6" t="s">
        <v>655</v>
      </c>
      <c r="E49" s="6" t="s">
        <v>656</v>
      </c>
      <c r="F49" s="6" t="s">
        <v>797</v>
      </c>
      <c r="G49" s="9" t="s">
        <v>65</v>
      </c>
      <c r="H49" s="9" t="s">
        <v>65</v>
      </c>
      <c r="I49" s="9" t="s">
        <v>65</v>
      </c>
      <c r="J49" s="9" t="s">
        <v>65</v>
      </c>
      <c r="K49" s="9" t="s">
        <v>798</v>
      </c>
      <c r="L49" s="9" t="s">
        <v>799</v>
      </c>
      <c r="M49" s="6" t="s">
        <v>800</v>
      </c>
      <c r="N49" s="6" t="s">
        <v>652</v>
      </c>
      <c r="O49" s="6" t="s">
        <v>801</v>
      </c>
      <c r="P49" s="6" t="s">
        <v>802</v>
      </c>
      <c r="Q49" s="12" t="s">
        <v>71</v>
      </c>
      <c r="R49" s="12" t="s">
        <v>803</v>
      </c>
      <c r="S49" s="12" t="s">
        <v>804</v>
      </c>
      <c r="T49" s="12" t="s">
        <v>30</v>
      </c>
      <c r="U49" s="6" t="s">
        <v>896</v>
      </c>
      <c r="V49" s="6" t="s">
        <v>806</v>
      </c>
    </row>
    <row r="50" spans="1:22" ht="38.25" x14ac:dyDescent="0.25">
      <c r="A50" s="6" t="s">
        <v>897</v>
      </c>
      <c r="B50" s="6" t="s">
        <v>651</v>
      </c>
      <c r="C50" s="6" t="s">
        <v>653</v>
      </c>
      <c r="D50" s="6" t="s">
        <v>658</v>
      </c>
      <c r="E50" s="6" t="s">
        <v>659</v>
      </c>
      <c r="F50" s="6" t="s">
        <v>797</v>
      </c>
      <c r="G50" s="9" t="s">
        <v>65</v>
      </c>
      <c r="H50" s="9" t="s">
        <v>439</v>
      </c>
      <c r="I50" s="9" t="s">
        <v>65</v>
      </c>
      <c r="J50" s="9" t="s">
        <v>439</v>
      </c>
      <c r="K50" s="9" t="s">
        <v>798</v>
      </c>
      <c r="L50" s="9" t="s">
        <v>799</v>
      </c>
      <c r="M50" s="6" t="s">
        <v>798</v>
      </c>
      <c r="N50" s="6" t="s">
        <v>652</v>
      </c>
      <c r="O50" s="6" t="s">
        <v>801</v>
      </c>
      <c r="P50" s="6" t="s">
        <v>802</v>
      </c>
      <c r="Q50" s="12" t="s">
        <v>71</v>
      </c>
      <c r="R50" s="12" t="s">
        <v>803</v>
      </c>
      <c r="S50" s="12" t="s">
        <v>804</v>
      </c>
      <c r="T50" s="12" t="s">
        <v>30</v>
      </c>
      <c r="U50" s="6" t="s">
        <v>898</v>
      </c>
      <c r="V50" s="6" t="s">
        <v>806</v>
      </c>
    </row>
    <row r="51" spans="1:22" ht="38.25" x14ac:dyDescent="0.25">
      <c r="A51" s="6" t="s">
        <v>899</v>
      </c>
      <c r="B51" s="6" t="s">
        <v>651</v>
      </c>
      <c r="C51" s="6" t="s">
        <v>653</v>
      </c>
      <c r="D51" s="6" t="s">
        <v>661</v>
      </c>
      <c r="E51" s="6" t="s">
        <v>662</v>
      </c>
      <c r="F51" s="6" t="s">
        <v>797</v>
      </c>
      <c r="G51" s="9" t="s">
        <v>65</v>
      </c>
      <c r="H51" s="9" t="s">
        <v>65</v>
      </c>
      <c r="I51" s="9" t="s">
        <v>65</v>
      </c>
      <c r="J51" s="9" t="s">
        <v>65</v>
      </c>
      <c r="K51" s="9" t="s">
        <v>798</v>
      </c>
      <c r="L51" s="9" t="s">
        <v>799</v>
      </c>
      <c r="M51" s="6" t="s">
        <v>800</v>
      </c>
      <c r="N51" s="6" t="s">
        <v>652</v>
      </c>
      <c r="O51" s="6" t="s">
        <v>801</v>
      </c>
      <c r="P51" s="6" t="s">
        <v>802</v>
      </c>
      <c r="Q51" s="12" t="s">
        <v>71</v>
      </c>
      <c r="R51" s="12" t="s">
        <v>803</v>
      </c>
      <c r="S51" s="12" t="s">
        <v>804</v>
      </c>
      <c r="T51" s="12" t="s">
        <v>30</v>
      </c>
      <c r="U51" s="6" t="s">
        <v>900</v>
      </c>
      <c r="V51" s="6" t="s">
        <v>806</v>
      </c>
    </row>
    <row r="52" spans="1:22" ht="38.25" x14ac:dyDescent="0.25">
      <c r="A52" s="6" t="s">
        <v>901</v>
      </c>
      <c r="B52" s="6" t="s">
        <v>664</v>
      </c>
      <c r="C52" s="6" t="s">
        <v>665</v>
      </c>
      <c r="D52" s="6" t="s">
        <v>667</v>
      </c>
      <c r="E52" s="6" t="s">
        <v>668</v>
      </c>
      <c r="F52" s="6" t="s">
        <v>797</v>
      </c>
      <c r="G52" s="9" t="s">
        <v>65</v>
      </c>
      <c r="H52" s="9" t="s">
        <v>65</v>
      </c>
      <c r="I52" s="9" t="s">
        <v>65</v>
      </c>
      <c r="J52" s="9" t="s">
        <v>65</v>
      </c>
      <c r="K52" s="9" t="s">
        <v>798</v>
      </c>
      <c r="L52" s="9" t="s">
        <v>799</v>
      </c>
      <c r="M52" s="6" t="s">
        <v>800</v>
      </c>
      <c r="N52" s="6" t="s">
        <v>652</v>
      </c>
      <c r="O52" s="6" t="s">
        <v>801</v>
      </c>
      <c r="P52" s="6" t="s">
        <v>802</v>
      </c>
      <c r="Q52" s="12" t="s">
        <v>71</v>
      </c>
      <c r="R52" s="12" t="s">
        <v>803</v>
      </c>
      <c r="S52" s="12" t="s">
        <v>804</v>
      </c>
      <c r="T52" s="12" t="s">
        <v>30</v>
      </c>
      <c r="U52" s="6" t="s">
        <v>902</v>
      </c>
      <c r="V52" s="6" t="s">
        <v>806</v>
      </c>
    </row>
    <row r="53" spans="1:22" ht="38.25" x14ac:dyDescent="0.25">
      <c r="A53" s="6" t="s">
        <v>903</v>
      </c>
      <c r="B53" s="6" t="s">
        <v>664</v>
      </c>
      <c r="C53" s="6" t="s">
        <v>665</v>
      </c>
      <c r="D53" s="6" t="s">
        <v>670</v>
      </c>
      <c r="E53" s="6" t="s">
        <v>671</v>
      </c>
      <c r="F53" s="6" t="s">
        <v>797</v>
      </c>
      <c r="G53" s="9" t="s">
        <v>65</v>
      </c>
      <c r="H53" s="9" t="s">
        <v>65</v>
      </c>
      <c r="I53" s="9" t="s">
        <v>65</v>
      </c>
      <c r="J53" s="9" t="s">
        <v>65</v>
      </c>
      <c r="K53" s="9" t="s">
        <v>798</v>
      </c>
      <c r="L53" s="9" t="s">
        <v>799</v>
      </c>
      <c r="M53" s="6" t="s">
        <v>800</v>
      </c>
      <c r="N53" s="6" t="s">
        <v>652</v>
      </c>
      <c r="O53" s="6" t="s">
        <v>801</v>
      </c>
      <c r="P53" s="6" t="s">
        <v>802</v>
      </c>
      <c r="Q53" s="12" t="s">
        <v>71</v>
      </c>
      <c r="R53" s="12" t="s">
        <v>803</v>
      </c>
      <c r="S53" s="12" t="s">
        <v>804</v>
      </c>
      <c r="T53" s="12" t="s">
        <v>30</v>
      </c>
      <c r="U53" s="6" t="s">
        <v>904</v>
      </c>
      <c r="V53" s="6" t="s">
        <v>806</v>
      </c>
    </row>
    <row r="54" spans="1:22" ht="38.25" x14ac:dyDescent="0.25">
      <c r="A54" s="6" t="s">
        <v>905</v>
      </c>
      <c r="B54" s="6" t="s">
        <v>673</v>
      </c>
      <c r="C54" s="6" t="s">
        <v>674</v>
      </c>
      <c r="D54" s="6" t="s">
        <v>676</v>
      </c>
      <c r="E54" s="6" t="s">
        <v>677</v>
      </c>
      <c r="F54" s="6" t="s">
        <v>797</v>
      </c>
      <c r="G54" s="9" t="s">
        <v>65</v>
      </c>
      <c r="H54" s="9" t="s">
        <v>65</v>
      </c>
      <c r="I54" s="9" t="s">
        <v>65</v>
      </c>
      <c r="J54" s="9" t="s">
        <v>65</v>
      </c>
      <c r="K54" s="9" t="s">
        <v>798</v>
      </c>
      <c r="L54" s="9" t="s">
        <v>799</v>
      </c>
      <c r="M54" s="6" t="s">
        <v>800</v>
      </c>
      <c r="N54" s="6" t="s">
        <v>652</v>
      </c>
      <c r="O54" s="6" t="s">
        <v>801</v>
      </c>
      <c r="P54" s="6" t="s">
        <v>802</v>
      </c>
      <c r="Q54" s="12" t="s">
        <v>71</v>
      </c>
      <c r="R54" s="12" t="s">
        <v>803</v>
      </c>
      <c r="S54" s="12" t="s">
        <v>804</v>
      </c>
      <c r="T54" s="12" t="s">
        <v>30</v>
      </c>
      <c r="U54" s="6" t="s">
        <v>906</v>
      </c>
      <c r="V54" s="6" t="s">
        <v>806</v>
      </c>
    </row>
    <row r="55" spans="1:22" ht="38.25" x14ac:dyDescent="0.25">
      <c r="A55" s="6" t="s">
        <v>907</v>
      </c>
      <c r="B55" s="6" t="s">
        <v>679</v>
      </c>
      <c r="C55" s="6" t="s">
        <v>680</v>
      </c>
      <c r="D55" s="6" t="s">
        <v>682</v>
      </c>
      <c r="E55" s="6" t="s">
        <v>683</v>
      </c>
      <c r="F55" s="6" t="s">
        <v>797</v>
      </c>
      <c r="G55" s="9" t="s">
        <v>65</v>
      </c>
      <c r="H55" s="9" t="s">
        <v>439</v>
      </c>
      <c r="I55" s="9" t="s">
        <v>65</v>
      </c>
      <c r="J55" s="9" t="s">
        <v>439</v>
      </c>
      <c r="K55" s="9" t="s">
        <v>798</v>
      </c>
      <c r="L55" s="9" t="s">
        <v>799</v>
      </c>
      <c r="M55" s="6" t="s">
        <v>798</v>
      </c>
      <c r="N55" s="6" t="s">
        <v>652</v>
      </c>
      <c r="O55" s="6" t="s">
        <v>801</v>
      </c>
      <c r="P55" s="6" t="s">
        <v>802</v>
      </c>
      <c r="Q55" s="12" t="s">
        <v>71</v>
      </c>
      <c r="R55" s="12" t="s">
        <v>803</v>
      </c>
      <c r="S55" s="12" t="s">
        <v>804</v>
      </c>
      <c r="T55" s="12" t="s">
        <v>30</v>
      </c>
      <c r="U55" s="6" t="s">
        <v>908</v>
      </c>
      <c r="V55" s="6" t="s">
        <v>806</v>
      </c>
    </row>
    <row r="56" spans="1:22" ht="38.25" x14ac:dyDescent="0.25">
      <c r="A56" s="6" t="s">
        <v>909</v>
      </c>
      <c r="B56" s="6" t="s">
        <v>679</v>
      </c>
      <c r="C56" s="6" t="s">
        <v>680</v>
      </c>
      <c r="D56" s="6" t="s">
        <v>685</v>
      </c>
      <c r="E56" s="6" t="s">
        <v>686</v>
      </c>
      <c r="F56" s="6" t="s">
        <v>797</v>
      </c>
      <c r="G56" s="9" t="s">
        <v>65</v>
      </c>
      <c r="H56" s="9" t="s">
        <v>439</v>
      </c>
      <c r="I56" s="9" t="s">
        <v>65</v>
      </c>
      <c r="J56" s="9" t="s">
        <v>439</v>
      </c>
      <c r="K56" s="9" t="s">
        <v>798</v>
      </c>
      <c r="L56" s="9" t="s">
        <v>799</v>
      </c>
      <c r="M56" s="6" t="s">
        <v>798</v>
      </c>
      <c r="N56" s="6" t="s">
        <v>652</v>
      </c>
      <c r="O56" s="6" t="s">
        <v>801</v>
      </c>
      <c r="P56" s="6" t="s">
        <v>802</v>
      </c>
      <c r="Q56" s="12" t="s">
        <v>71</v>
      </c>
      <c r="R56" s="12" t="s">
        <v>803</v>
      </c>
      <c r="S56" s="12" t="s">
        <v>804</v>
      </c>
      <c r="T56" s="12" t="s">
        <v>30</v>
      </c>
      <c r="U56" s="6" t="s">
        <v>910</v>
      </c>
      <c r="V56" s="6" t="s">
        <v>806</v>
      </c>
    </row>
    <row r="57" spans="1:22" ht="38.25" x14ac:dyDescent="0.25">
      <c r="A57" s="6" t="s">
        <v>911</v>
      </c>
      <c r="B57" s="6" t="s">
        <v>688</v>
      </c>
      <c r="C57" s="6" t="s">
        <v>690</v>
      </c>
      <c r="D57" s="6" t="s">
        <v>692</v>
      </c>
      <c r="E57" s="6" t="s">
        <v>693</v>
      </c>
      <c r="F57" s="6" t="s">
        <v>797</v>
      </c>
      <c r="G57" s="9" t="s">
        <v>65</v>
      </c>
      <c r="H57" s="9" t="s">
        <v>65</v>
      </c>
      <c r="I57" s="9" t="s">
        <v>65</v>
      </c>
      <c r="J57" s="9" t="s">
        <v>65</v>
      </c>
      <c r="K57" s="9" t="s">
        <v>798</v>
      </c>
      <c r="L57" s="9" t="s">
        <v>799</v>
      </c>
      <c r="M57" s="6" t="s">
        <v>800</v>
      </c>
      <c r="N57" s="6" t="s">
        <v>689</v>
      </c>
      <c r="O57" s="6" t="s">
        <v>801</v>
      </c>
      <c r="P57" s="6" t="s">
        <v>802</v>
      </c>
      <c r="Q57" s="12" t="s">
        <v>71</v>
      </c>
      <c r="R57" s="12" t="s">
        <v>803</v>
      </c>
      <c r="S57" s="12" t="s">
        <v>804</v>
      </c>
      <c r="T57" s="12" t="s">
        <v>30</v>
      </c>
      <c r="U57" s="6" t="s">
        <v>912</v>
      </c>
      <c r="V57" s="6" t="s">
        <v>806</v>
      </c>
    </row>
    <row r="58" spans="1:22" ht="38.25" x14ac:dyDescent="0.25">
      <c r="A58" s="6" t="s">
        <v>913</v>
      </c>
      <c r="B58" s="6" t="s">
        <v>695</v>
      </c>
      <c r="C58" s="6" t="s">
        <v>696</v>
      </c>
      <c r="D58" s="6" t="s">
        <v>698</v>
      </c>
      <c r="E58" s="6" t="s">
        <v>699</v>
      </c>
      <c r="F58" s="6" t="s">
        <v>797</v>
      </c>
      <c r="G58" s="9" t="s">
        <v>65</v>
      </c>
      <c r="H58" s="9" t="s">
        <v>65</v>
      </c>
      <c r="I58" s="9" t="s">
        <v>65</v>
      </c>
      <c r="J58" s="9" t="s">
        <v>65</v>
      </c>
      <c r="K58" s="9" t="s">
        <v>798</v>
      </c>
      <c r="L58" s="9" t="s">
        <v>799</v>
      </c>
      <c r="M58" s="6" t="s">
        <v>800</v>
      </c>
      <c r="N58" s="6" t="s">
        <v>689</v>
      </c>
      <c r="O58" s="6" t="s">
        <v>801</v>
      </c>
      <c r="P58" s="6" t="s">
        <v>802</v>
      </c>
      <c r="Q58" s="12" t="s">
        <v>71</v>
      </c>
      <c r="R58" s="12" t="s">
        <v>803</v>
      </c>
      <c r="S58" s="12" t="s">
        <v>804</v>
      </c>
      <c r="T58" s="12" t="s">
        <v>30</v>
      </c>
      <c r="U58" s="6" t="s">
        <v>914</v>
      </c>
      <c r="V58" s="6" t="s">
        <v>806</v>
      </c>
    </row>
    <row r="59" spans="1:22" ht="38.25" x14ac:dyDescent="0.25">
      <c r="A59" s="6" t="s">
        <v>915</v>
      </c>
      <c r="B59" s="6" t="s">
        <v>695</v>
      </c>
      <c r="C59" s="6" t="s">
        <v>696</v>
      </c>
      <c r="D59" s="6" t="s">
        <v>701</v>
      </c>
      <c r="E59" s="6" t="s">
        <v>702</v>
      </c>
      <c r="F59" s="6" t="s">
        <v>797</v>
      </c>
      <c r="G59" s="9" t="s">
        <v>65</v>
      </c>
      <c r="H59" s="9" t="s">
        <v>65</v>
      </c>
      <c r="I59" s="9" t="s">
        <v>65</v>
      </c>
      <c r="J59" s="9" t="s">
        <v>65</v>
      </c>
      <c r="K59" s="9" t="s">
        <v>798</v>
      </c>
      <c r="L59" s="9" t="s">
        <v>799</v>
      </c>
      <c r="M59" s="6" t="s">
        <v>800</v>
      </c>
      <c r="N59" s="6" t="s">
        <v>689</v>
      </c>
      <c r="O59" s="6" t="s">
        <v>801</v>
      </c>
      <c r="P59" s="6" t="s">
        <v>802</v>
      </c>
      <c r="Q59" s="12" t="s">
        <v>71</v>
      </c>
      <c r="R59" s="12" t="s">
        <v>803</v>
      </c>
      <c r="S59" s="12" t="s">
        <v>804</v>
      </c>
      <c r="T59" s="12" t="s">
        <v>30</v>
      </c>
      <c r="U59" s="6" t="s">
        <v>916</v>
      </c>
      <c r="V59" s="6" t="s">
        <v>806</v>
      </c>
    </row>
    <row r="60" spans="1:22" ht="38.25" x14ac:dyDescent="0.25">
      <c r="A60" s="6" t="s">
        <v>917</v>
      </c>
      <c r="B60" s="6" t="s">
        <v>704</v>
      </c>
      <c r="C60" s="6" t="s">
        <v>705</v>
      </c>
      <c r="D60" s="6" t="s">
        <v>707</v>
      </c>
      <c r="E60" s="6" t="s">
        <v>708</v>
      </c>
      <c r="F60" s="6" t="s">
        <v>797</v>
      </c>
      <c r="G60" s="9" t="s">
        <v>65</v>
      </c>
      <c r="H60" s="9" t="s">
        <v>65</v>
      </c>
      <c r="I60" s="9" t="s">
        <v>65</v>
      </c>
      <c r="J60" s="9" t="s">
        <v>65</v>
      </c>
      <c r="K60" s="9" t="s">
        <v>798</v>
      </c>
      <c r="L60" s="9" t="s">
        <v>799</v>
      </c>
      <c r="M60" s="6" t="s">
        <v>800</v>
      </c>
      <c r="N60" s="6" t="s">
        <v>689</v>
      </c>
      <c r="O60" s="6" t="s">
        <v>801</v>
      </c>
      <c r="P60" s="6" t="s">
        <v>802</v>
      </c>
      <c r="Q60" s="12" t="s">
        <v>71</v>
      </c>
      <c r="R60" s="12" t="s">
        <v>803</v>
      </c>
      <c r="S60" s="12" t="s">
        <v>804</v>
      </c>
      <c r="T60" s="12" t="s">
        <v>30</v>
      </c>
      <c r="U60" s="6" t="s">
        <v>918</v>
      </c>
      <c r="V60" s="6" t="s">
        <v>806</v>
      </c>
    </row>
    <row r="61" spans="1:22" ht="38.25" x14ac:dyDescent="0.25">
      <c r="A61" s="6" t="s">
        <v>919</v>
      </c>
      <c r="B61" s="6" t="s">
        <v>710</v>
      </c>
      <c r="C61" s="6" t="s">
        <v>711</v>
      </c>
      <c r="D61" s="6" t="s">
        <v>713</v>
      </c>
      <c r="E61" s="6" t="s">
        <v>714</v>
      </c>
      <c r="F61" s="6" t="s">
        <v>797</v>
      </c>
      <c r="G61" s="9" t="s">
        <v>65</v>
      </c>
      <c r="H61" s="9" t="s">
        <v>439</v>
      </c>
      <c r="I61" s="9" t="s">
        <v>65</v>
      </c>
      <c r="J61" s="9" t="s">
        <v>439</v>
      </c>
      <c r="K61" s="9" t="s">
        <v>798</v>
      </c>
      <c r="L61" s="9" t="s">
        <v>799</v>
      </c>
      <c r="M61" s="6" t="s">
        <v>798</v>
      </c>
      <c r="N61" s="6" t="s">
        <v>689</v>
      </c>
      <c r="O61" s="6" t="s">
        <v>801</v>
      </c>
      <c r="P61" s="6" t="s">
        <v>802</v>
      </c>
      <c r="Q61" s="12" t="s">
        <v>71</v>
      </c>
      <c r="R61" s="12" t="s">
        <v>803</v>
      </c>
      <c r="S61" s="12" t="s">
        <v>804</v>
      </c>
      <c r="T61" s="12" t="s">
        <v>30</v>
      </c>
      <c r="U61" s="6" t="s">
        <v>920</v>
      </c>
      <c r="V61" s="6" t="s">
        <v>806</v>
      </c>
    </row>
    <row r="62" spans="1:22" ht="38.25" x14ac:dyDescent="0.25">
      <c r="A62" s="6" t="s">
        <v>921</v>
      </c>
      <c r="B62" s="6" t="s">
        <v>710</v>
      </c>
      <c r="C62" s="6" t="s">
        <v>711</v>
      </c>
      <c r="D62" s="6" t="s">
        <v>716</v>
      </c>
      <c r="E62" s="6" t="s">
        <v>717</v>
      </c>
      <c r="F62" s="6" t="s">
        <v>797</v>
      </c>
      <c r="G62" s="9" t="s">
        <v>65</v>
      </c>
      <c r="H62" s="9" t="s">
        <v>439</v>
      </c>
      <c r="I62" s="9" t="s">
        <v>65</v>
      </c>
      <c r="J62" s="9" t="s">
        <v>439</v>
      </c>
      <c r="K62" s="9" t="s">
        <v>798</v>
      </c>
      <c r="L62" s="9" t="s">
        <v>799</v>
      </c>
      <c r="M62" s="6" t="s">
        <v>798</v>
      </c>
      <c r="N62" s="6" t="s">
        <v>689</v>
      </c>
      <c r="O62" s="6" t="s">
        <v>801</v>
      </c>
      <c r="P62" s="6" t="s">
        <v>802</v>
      </c>
      <c r="Q62" s="12" t="s">
        <v>71</v>
      </c>
      <c r="R62" s="12" t="s">
        <v>803</v>
      </c>
      <c r="S62" s="12" t="s">
        <v>804</v>
      </c>
      <c r="T62" s="12" t="s">
        <v>30</v>
      </c>
      <c r="U62" s="6" t="s">
        <v>922</v>
      </c>
      <c r="V62" s="6" t="s">
        <v>806</v>
      </c>
    </row>
    <row r="63" spans="1:22" ht="38.25" x14ac:dyDescent="0.25">
      <c r="A63" s="6" t="s">
        <v>923</v>
      </c>
      <c r="B63" s="6" t="s">
        <v>719</v>
      </c>
      <c r="C63" s="6" t="s">
        <v>721</v>
      </c>
      <c r="D63" s="6" t="s">
        <v>723</v>
      </c>
      <c r="E63" s="6" t="s">
        <v>724</v>
      </c>
      <c r="F63" s="6" t="s">
        <v>797</v>
      </c>
      <c r="G63" s="9" t="s">
        <v>65</v>
      </c>
      <c r="H63" s="9" t="s">
        <v>65</v>
      </c>
      <c r="I63" s="9" t="s">
        <v>65</v>
      </c>
      <c r="J63" s="9" t="s">
        <v>65</v>
      </c>
      <c r="K63" s="9" t="s">
        <v>798</v>
      </c>
      <c r="L63" s="9" t="s">
        <v>799</v>
      </c>
      <c r="M63" s="6" t="s">
        <v>800</v>
      </c>
      <c r="N63" s="6" t="s">
        <v>720</v>
      </c>
      <c r="O63" s="6" t="s">
        <v>801</v>
      </c>
      <c r="P63" s="6" t="s">
        <v>802</v>
      </c>
      <c r="Q63" s="12" t="s">
        <v>71</v>
      </c>
      <c r="R63" s="12" t="s">
        <v>803</v>
      </c>
      <c r="S63" s="12" t="s">
        <v>804</v>
      </c>
      <c r="T63" s="12" t="s">
        <v>30</v>
      </c>
      <c r="U63" s="6" t="s">
        <v>924</v>
      </c>
      <c r="V63" s="6" t="s">
        <v>806</v>
      </c>
    </row>
    <row r="64" spans="1:22" ht="38.25" x14ac:dyDescent="0.25">
      <c r="A64" s="6" t="s">
        <v>925</v>
      </c>
      <c r="B64" s="6" t="s">
        <v>726</v>
      </c>
      <c r="C64" s="6" t="s">
        <v>727</v>
      </c>
      <c r="D64" s="6" t="s">
        <v>729</v>
      </c>
      <c r="E64" s="6" t="s">
        <v>730</v>
      </c>
      <c r="F64" s="6" t="s">
        <v>797</v>
      </c>
      <c r="G64" s="9" t="s">
        <v>65</v>
      </c>
      <c r="H64" s="9" t="s">
        <v>65</v>
      </c>
      <c r="I64" s="9" t="s">
        <v>65</v>
      </c>
      <c r="J64" s="9" t="s">
        <v>65</v>
      </c>
      <c r="K64" s="9" t="s">
        <v>798</v>
      </c>
      <c r="L64" s="9" t="s">
        <v>799</v>
      </c>
      <c r="M64" s="6" t="s">
        <v>800</v>
      </c>
      <c r="N64" s="6" t="s">
        <v>720</v>
      </c>
      <c r="O64" s="6" t="s">
        <v>801</v>
      </c>
      <c r="P64" s="6" t="s">
        <v>802</v>
      </c>
      <c r="Q64" s="12" t="s">
        <v>71</v>
      </c>
      <c r="R64" s="12" t="s">
        <v>803</v>
      </c>
      <c r="S64" s="12" t="s">
        <v>804</v>
      </c>
      <c r="T64" s="12" t="s">
        <v>30</v>
      </c>
      <c r="U64" s="6" t="s">
        <v>926</v>
      </c>
      <c r="V64" s="6" t="s">
        <v>806</v>
      </c>
    </row>
    <row r="65" spans="1:22" ht="38.25" x14ac:dyDescent="0.25">
      <c r="A65" s="6" t="s">
        <v>927</v>
      </c>
      <c r="B65" s="6" t="s">
        <v>732</v>
      </c>
      <c r="C65" s="6" t="s">
        <v>733</v>
      </c>
      <c r="D65" s="6" t="s">
        <v>735</v>
      </c>
      <c r="E65" s="6" t="s">
        <v>736</v>
      </c>
      <c r="F65" s="6" t="s">
        <v>797</v>
      </c>
      <c r="G65" s="9" t="s">
        <v>65</v>
      </c>
      <c r="H65" s="9" t="s">
        <v>65</v>
      </c>
      <c r="I65" s="9" t="s">
        <v>65</v>
      </c>
      <c r="J65" s="9" t="s">
        <v>65</v>
      </c>
      <c r="K65" s="9" t="s">
        <v>798</v>
      </c>
      <c r="L65" s="9" t="s">
        <v>799</v>
      </c>
      <c r="M65" s="6" t="s">
        <v>800</v>
      </c>
      <c r="N65" s="6" t="s">
        <v>720</v>
      </c>
      <c r="O65" s="6" t="s">
        <v>801</v>
      </c>
      <c r="P65" s="6" t="s">
        <v>802</v>
      </c>
      <c r="Q65" s="12" t="s">
        <v>71</v>
      </c>
      <c r="R65" s="12" t="s">
        <v>803</v>
      </c>
      <c r="S65" s="12" t="s">
        <v>804</v>
      </c>
      <c r="T65" s="12" t="s">
        <v>30</v>
      </c>
      <c r="U65" s="6" t="s">
        <v>928</v>
      </c>
      <c r="V65" s="6" t="s">
        <v>806</v>
      </c>
    </row>
    <row r="66" spans="1:22" ht="38.25" x14ac:dyDescent="0.25">
      <c r="A66" s="6" t="s">
        <v>929</v>
      </c>
      <c r="B66" s="6" t="s">
        <v>738</v>
      </c>
      <c r="C66" s="6" t="s">
        <v>740</v>
      </c>
      <c r="D66" s="6" t="s">
        <v>743</v>
      </c>
      <c r="E66" s="6" t="s">
        <v>744</v>
      </c>
      <c r="F66" s="6" t="s">
        <v>797</v>
      </c>
      <c r="G66" s="9" t="s">
        <v>65</v>
      </c>
      <c r="H66" s="9" t="s">
        <v>65</v>
      </c>
      <c r="I66" s="9" t="s">
        <v>65</v>
      </c>
      <c r="J66" s="9" t="s">
        <v>65</v>
      </c>
      <c r="K66" s="9" t="s">
        <v>798</v>
      </c>
      <c r="L66" s="9" t="s">
        <v>799</v>
      </c>
      <c r="M66" s="6" t="s">
        <v>800</v>
      </c>
      <c r="N66" s="6" t="s">
        <v>739</v>
      </c>
      <c r="O66" s="6" t="s">
        <v>801</v>
      </c>
      <c r="P66" s="6" t="s">
        <v>802</v>
      </c>
      <c r="Q66" s="12" t="s">
        <v>71</v>
      </c>
      <c r="R66" s="12" t="s">
        <v>803</v>
      </c>
      <c r="S66" s="12" t="s">
        <v>930</v>
      </c>
      <c r="T66" s="12" t="s">
        <v>30</v>
      </c>
      <c r="U66" s="6" t="s">
        <v>931</v>
      </c>
      <c r="V66" s="6" t="s">
        <v>806</v>
      </c>
    </row>
    <row r="67" spans="1:22" ht="38.25" x14ac:dyDescent="0.25">
      <c r="A67" s="6" t="s">
        <v>932</v>
      </c>
      <c r="B67" s="6" t="s">
        <v>738</v>
      </c>
      <c r="C67" s="6" t="s">
        <v>740</v>
      </c>
      <c r="D67" s="6" t="s">
        <v>746</v>
      </c>
      <c r="E67" s="6" t="s">
        <v>747</v>
      </c>
      <c r="F67" s="6" t="s">
        <v>797</v>
      </c>
      <c r="G67" s="9" t="s">
        <v>65</v>
      </c>
      <c r="H67" s="9" t="s">
        <v>65</v>
      </c>
      <c r="I67" s="9" t="s">
        <v>65</v>
      </c>
      <c r="J67" s="9" t="s">
        <v>65</v>
      </c>
      <c r="K67" s="9" t="s">
        <v>798</v>
      </c>
      <c r="L67" s="9" t="s">
        <v>799</v>
      </c>
      <c r="M67" s="6" t="s">
        <v>800</v>
      </c>
      <c r="N67" s="6" t="s">
        <v>739</v>
      </c>
      <c r="O67" s="6" t="s">
        <v>801</v>
      </c>
      <c r="P67" s="6" t="s">
        <v>802</v>
      </c>
      <c r="Q67" s="12" t="s">
        <v>71</v>
      </c>
      <c r="R67" s="12" t="s">
        <v>803</v>
      </c>
      <c r="S67" s="12" t="s">
        <v>930</v>
      </c>
      <c r="T67" s="12" t="s">
        <v>30</v>
      </c>
      <c r="U67" s="6" t="s">
        <v>933</v>
      </c>
      <c r="V67" s="6" t="s">
        <v>806</v>
      </c>
    </row>
    <row r="68" spans="1:22" ht="38.25" x14ac:dyDescent="0.25">
      <c r="A68" s="6" t="s">
        <v>934</v>
      </c>
      <c r="B68" s="6" t="s">
        <v>749</v>
      </c>
      <c r="C68" s="6" t="s">
        <v>751</v>
      </c>
      <c r="D68" s="6" t="s">
        <v>753</v>
      </c>
      <c r="E68" s="6" t="s">
        <v>744</v>
      </c>
      <c r="F68" s="6" t="s">
        <v>797</v>
      </c>
      <c r="G68" s="9" t="s">
        <v>65</v>
      </c>
      <c r="H68" s="9" t="s">
        <v>65</v>
      </c>
      <c r="I68" s="9" t="s">
        <v>65</v>
      </c>
      <c r="J68" s="9" t="s">
        <v>65</v>
      </c>
      <c r="K68" s="9" t="s">
        <v>798</v>
      </c>
      <c r="L68" s="9" t="s">
        <v>799</v>
      </c>
      <c r="M68" s="6" t="s">
        <v>800</v>
      </c>
      <c r="N68" s="6" t="s">
        <v>750</v>
      </c>
      <c r="O68" s="6" t="s">
        <v>801</v>
      </c>
      <c r="P68" s="6" t="s">
        <v>802</v>
      </c>
      <c r="Q68" s="12" t="s">
        <v>71</v>
      </c>
      <c r="R68" s="12" t="s">
        <v>803</v>
      </c>
      <c r="S68" s="12" t="s">
        <v>930</v>
      </c>
      <c r="T68" s="12" t="s">
        <v>30</v>
      </c>
      <c r="U68" s="6" t="s">
        <v>935</v>
      </c>
      <c r="V68" s="6" t="s">
        <v>806</v>
      </c>
    </row>
    <row r="69" spans="1:22" ht="38.25" x14ac:dyDescent="0.25">
      <c r="A69" s="6" t="s">
        <v>936</v>
      </c>
      <c r="B69" s="6" t="s">
        <v>749</v>
      </c>
      <c r="C69" s="6" t="s">
        <v>751</v>
      </c>
      <c r="D69" s="6" t="s">
        <v>755</v>
      </c>
      <c r="E69" s="6" t="s">
        <v>747</v>
      </c>
      <c r="F69" s="6" t="s">
        <v>797</v>
      </c>
      <c r="G69" s="9" t="s">
        <v>65</v>
      </c>
      <c r="H69" s="9" t="s">
        <v>65</v>
      </c>
      <c r="I69" s="9" t="s">
        <v>65</v>
      </c>
      <c r="J69" s="9" t="s">
        <v>65</v>
      </c>
      <c r="K69" s="9" t="s">
        <v>798</v>
      </c>
      <c r="L69" s="9" t="s">
        <v>799</v>
      </c>
      <c r="M69" s="6" t="s">
        <v>800</v>
      </c>
      <c r="N69" s="6" t="s">
        <v>750</v>
      </c>
      <c r="O69" s="6" t="s">
        <v>801</v>
      </c>
      <c r="P69" s="6" t="s">
        <v>802</v>
      </c>
      <c r="Q69" s="12" t="s">
        <v>71</v>
      </c>
      <c r="R69" s="12" t="s">
        <v>803</v>
      </c>
      <c r="S69" s="12" t="s">
        <v>930</v>
      </c>
      <c r="T69" s="12" t="s">
        <v>30</v>
      </c>
      <c r="U69" s="6" t="s">
        <v>937</v>
      </c>
      <c r="V69" s="6" t="s">
        <v>806</v>
      </c>
    </row>
    <row r="70" spans="1:22" ht="25.5" x14ac:dyDescent="0.25">
      <c r="A70" s="6" t="s">
        <v>938</v>
      </c>
      <c r="B70" s="6" t="s">
        <v>749</v>
      </c>
      <c r="C70" s="6" t="s">
        <v>939</v>
      </c>
      <c r="D70" s="6" t="s">
        <v>760</v>
      </c>
      <c r="E70" s="6" t="s">
        <v>761</v>
      </c>
      <c r="F70" s="6" t="s">
        <v>797</v>
      </c>
      <c r="G70" s="9" t="s">
        <v>65</v>
      </c>
      <c r="H70" s="9" t="s">
        <v>439</v>
      </c>
      <c r="I70" s="9" t="s">
        <v>65</v>
      </c>
      <c r="J70" s="9" t="s">
        <v>439</v>
      </c>
      <c r="K70" s="9" t="s">
        <v>798</v>
      </c>
      <c r="L70" s="9" t="s">
        <v>799</v>
      </c>
      <c r="M70" s="6" t="s">
        <v>798</v>
      </c>
      <c r="N70" s="6" t="s">
        <v>750</v>
      </c>
      <c r="O70" s="6" t="s">
        <v>801</v>
      </c>
      <c r="P70" s="6" t="s">
        <v>940</v>
      </c>
      <c r="Q70" s="12" t="s">
        <v>84</v>
      </c>
      <c r="R70" s="12" t="s">
        <v>941</v>
      </c>
      <c r="S70" s="12" t="s">
        <v>930</v>
      </c>
      <c r="T70" s="12" t="s">
        <v>30</v>
      </c>
      <c r="U70" s="6"/>
      <c r="V70" s="6" t="s">
        <v>942</v>
      </c>
    </row>
    <row r="71" spans="1:22" ht="25.5" x14ac:dyDescent="0.25">
      <c r="A71" s="6" t="s">
        <v>943</v>
      </c>
      <c r="B71" s="6" t="s">
        <v>749</v>
      </c>
      <c r="C71" s="6" t="s">
        <v>939</v>
      </c>
      <c r="D71" s="6" t="s">
        <v>770</v>
      </c>
      <c r="E71" s="6" t="s">
        <v>771</v>
      </c>
      <c r="F71" s="6" t="s">
        <v>797</v>
      </c>
      <c r="G71" s="9" t="s">
        <v>65</v>
      </c>
      <c r="H71" s="9" t="s">
        <v>439</v>
      </c>
      <c r="I71" s="9" t="s">
        <v>65</v>
      </c>
      <c r="J71" s="9" t="s">
        <v>439</v>
      </c>
      <c r="K71" s="9" t="s">
        <v>798</v>
      </c>
      <c r="L71" s="9" t="s">
        <v>799</v>
      </c>
      <c r="M71" s="6" t="s">
        <v>798</v>
      </c>
      <c r="N71" s="6" t="s">
        <v>750</v>
      </c>
      <c r="O71" s="6" t="s">
        <v>801</v>
      </c>
      <c r="P71" s="6" t="s">
        <v>940</v>
      </c>
      <c r="Q71" s="12" t="s">
        <v>84</v>
      </c>
      <c r="R71" s="12" t="s">
        <v>941</v>
      </c>
      <c r="S71" s="12" t="s">
        <v>930</v>
      </c>
      <c r="T71" s="12" t="s">
        <v>30</v>
      </c>
      <c r="U71" s="6"/>
      <c r="V71" s="6" t="s">
        <v>942</v>
      </c>
    </row>
    <row r="72" spans="1:22" ht="25.5" x14ac:dyDescent="0.25">
      <c r="A72" s="7" t="s">
        <v>944</v>
      </c>
      <c r="B72" s="7" t="s">
        <v>749</v>
      </c>
      <c r="C72" s="7" t="s">
        <v>939</v>
      </c>
      <c r="D72" s="7" t="s">
        <v>772</v>
      </c>
      <c r="E72" s="7" t="s">
        <v>773</v>
      </c>
      <c r="F72" s="7" t="s">
        <v>797</v>
      </c>
      <c r="G72" s="10" t="s">
        <v>65</v>
      </c>
      <c r="H72" s="10" t="s">
        <v>439</v>
      </c>
      <c r="I72" s="10" t="s">
        <v>65</v>
      </c>
      <c r="J72" s="10" t="s">
        <v>439</v>
      </c>
      <c r="K72" s="10" t="s">
        <v>798</v>
      </c>
      <c r="L72" s="10" t="s">
        <v>799</v>
      </c>
      <c r="M72" s="7" t="s">
        <v>798</v>
      </c>
      <c r="N72" s="7" t="s">
        <v>750</v>
      </c>
      <c r="O72" s="7" t="s">
        <v>801</v>
      </c>
      <c r="P72" s="7" t="s">
        <v>940</v>
      </c>
      <c r="Q72" s="13" t="s">
        <v>84</v>
      </c>
      <c r="R72" s="13" t="s">
        <v>941</v>
      </c>
      <c r="S72" s="13" t="s">
        <v>930</v>
      </c>
      <c r="T72" s="13" t="s">
        <v>30</v>
      </c>
      <c r="U72" s="7"/>
      <c r="V72" s="7" t="s">
        <v>942</v>
      </c>
    </row>
  </sheetData>
  <mergeCells count="2">
    <mergeCell ref="A1:V1"/>
    <mergeCell ref="A2:V2"/>
  </mergeCells>
  <phoneticPr fontId="15" type="noConversion"/>
  <conditionalFormatting sqref="T5:T72">
    <cfRule type="containsText" dxfId="1" priority="1" operator="containsText" text="执行阻断"/>
  </conditionalFormatting>
  <dataValidations count="4">
    <dataValidation type="list" sqref="G5:J72" xr:uid="{00000000-0002-0000-0200-000000000000}">
      <formula1>"Y,N,待确认"</formula1>
    </dataValidation>
    <dataValidation type="list" sqref="K5:L72" xr:uid="{00000000-0002-0000-0200-000001000000}">
      <formula1>"Higher,Lower,ClassificationNA,待确认"</formula1>
    </dataValidation>
    <dataValidation type="list" sqref="M5:M72" xr:uid="{00000000-0002-0000-0200-000002000000}">
      <formula1>"Higher,Lower,两者,不建立关联,待确认"</formula1>
    </dataValidation>
    <dataValidation type="list" sqref="T5:T72" xr:uid="{00000000-0002-0000-0200-000003000000}">
      <formula1>"已确认-强,已确认-中,已确认-弱,部分确认,执行阻断,v4未发现/待确认"</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showGridLines="0" workbookViewId="0"/>
  </sheetViews>
  <sheetFormatPr defaultRowHeight="15" x14ac:dyDescent="0.25"/>
  <cols>
    <col min="1" max="1" width="27" customWidth="1"/>
    <col min="2" max="2" width="25" customWidth="1"/>
    <col min="3" max="3" width="17" customWidth="1"/>
    <col min="4" max="4" width="52" customWidth="1"/>
    <col min="5" max="5" width="62" customWidth="1"/>
    <col min="6" max="6" width="30" customWidth="1"/>
    <col min="7" max="7" width="48" customWidth="1"/>
    <col min="8" max="8" width="28" customWidth="1"/>
    <col min="9" max="9" width="18" customWidth="1"/>
    <col min="10" max="10" width="22" customWidth="1"/>
    <col min="11" max="11" width="38" customWidth="1"/>
  </cols>
  <sheetData>
    <row r="1" spans="1:11" ht="30" customHeight="1" x14ac:dyDescent="0.25">
      <c r="A1" s="85" t="s">
        <v>945</v>
      </c>
      <c r="B1" s="73"/>
      <c r="C1" s="73"/>
      <c r="D1" s="73"/>
      <c r="E1" s="73"/>
      <c r="F1" s="73"/>
      <c r="G1" s="73"/>
      <c r="H1" s="73"/>
      <c r="I1" s="73"/>
      <c r="J1" s="73"/>
      <c r="K1" s="73"/>
    </row>
    <row r="2" spans="1:11" ht="36" customHeight="1" x14ac:dyDescent="0.25">
      <c r="A2" s="86" t="s">
        <v>946</v>
      </c>
      <c r="B2" s="73"/>
      <c r="C2" s="73"/>
      <c r="D2" s="73"/>
      <c r="E2" s="73"/>
      <c r="F2" s="73"/>
      <c r="G2" s="73"/>
      <c r="H2" s="73"/>
      <c r="I2" s="73"/>
      <c r="J2" s="73"/>
      <c r="K2" s="73"/>
    </row>
    <row r="4" spans="1:11" ht="36" customHeight="1" x14ac:dyDescent="0.25">
      <c r="A4" s="2" t="s">
        <v>947</v>
      </c>
      <c r="B4" s="3" t="s">
        <v>948</v>
      </c>
      <c r="C4" s="3" t="s">
        <v>52</v>
      </c>
      <c r="D4" s="3" t="s">
        <v>949</v>
      </c>
      <c r="E4" s="3" t="s">
        <v>950</v>
      </c>
      <c r="F4" s="3" t="s">
        <v>951</v>
      </c>
      <c r="G4" s="3" t="s">
        <v>952</v>
      </c>
      <c r="H4" s="3" t="s">
        <v>953</v>
      </c>
      <c r="I4" s="3" t="s">
        <v>795</v>
      </c>
      <c r="J4" s="3" t="s">
        <v>954</v>
      </c>
      <c r="K4" s="4" t="s">
        <v>61</v>
      </c>
    </row>
    <row r="5" spans="1:11" ht="25.5" x14ac:dyDescent="0.25">
      <c r="A5" s="5" t="s">
        <v>955</v>
      </c>
      <c r="B5" s="5" t="s">
        <v>956</v>
      </c>
      <c r="C5" s="11" t="s">
        <v>84</v>
      </c>
      <c r="D5" s="11" t="s">
        <v>957</v>
      </c>
      <c r="E5" s="11" t="s">
        <v>958</v>
      </c>
      <c r="F5" s="11" t="s">
        <v>959</v>
      </c>
      <c r="G5" s="11" t="s">
        <v>960</v>
      </c>
      <c r="H5" s="11" t="s">
        <v>961</v>
      </c>
      <c r="I5" s="11" t="s">
        <v>30</v>
      </c>
      <c r="J5" s="5" t="s">
        <v>962</v>
      </c>
      <c r="K5" s="5" t="s">
        <v>963</v>
      </c>
    </row>
    <row r="6" spans="1:11" ht="25.5" x14ac:dyDescent="0.25">
      <c r="A6" s="6" t="s">
        <v>964</v>
      </c>
      <c r="B6" s="6" t="s">
        <v>965</v>
      </c>
      <c r="C6" s="12" t="s">
        <v>84</v>
      </c>
      <c r="D6" s="12" t="s">
        <v>966</v>
      </c>
      <c r="E6" s="12" t="s">
        <v>967</v>
      </c>
      <c r="F6" s="12" t="s">
        <v>968</v>
      </c>
      <c r="G6" s="12" t="s">
        <v>969</v>
      </c>
      <c r="H6" s="12" t="s">
        <v>970</v>
      </c>
      <c r="I6" s="12" t="s">
        <v>30</v>
      </c>
      <c r="J6" s="6" t="s">
        <v>962</v>
      </c>
      <c r="K6" s="6"/>
    </row>
    <row r="7" spans="1:11" ht="25.5" x14ac:dyDescent="0.25">
      <c r="A7" s="6" t="s">
        <v>971</v>
      </c>
      <c r="B7" s="6" t="s">
        <v>972</v>
      </c>
      <c r="C7" s="12" t="s">
        <v>71</v>
      </c>
      <c r="D7" s="12" t="s">
        <v>973</v>
      </c>
      <c r="E7" s="12" t="s">
        <v>974</v>
      </c>
      <c r="F7" s="12" t="s">
        <v>975</v>
      </c>
      <c r="G7" s="12" t="s">
        <v>976</v>
      </c>
      <c r="H7" s="12" t="s">
        <v>977</v>
      </c>
      <c r="I7" s="12" t="s">
        <v>30</v>
      </c>
      <c r="J7" s="6" t="s">
        <v>962</v>
      </c>
      <c r="K7" s="6" t="s">
        <v>978</v>
      </c>
    </row>
    <row r="8" spans="1:11" ht="25.5" x14ac:dyDescent="0.25">
      <c r="A8" s="6" t="s">
        <v>979</v>
      </c>
      <c r="B8" s="6" t="s">
        <v>980</v>
      </c>
      <c r="C8" s="12" t="s">
        <v>113</v>
      </c>
      <c r="D8" s="12" t="s">
        <v>73</v>
      </c>
      <c r="E8" s="12" t="s">
        <v>981</v>
      </c>
      <c r="F8" s="12" t="s">
        <v>982</v>
      </c>
      <c r="G8" s="12" t="s">
        <v>983</v>
      </c>
      <c r="H8" s="12" t="s">
        <v>984</v>
      </c>
      <c r="I8" s="12" t="s">
        <v>30</v>
      </c>
      <c r="J8" s="6" t="s">
        <v>962</v>
      </c>
      <c r="K8" s="6" t="s">
        <v>985</v>
      </c>
    </row>
    <row r="9" spans="1:11" ht="25.5" x14ac:dyDescent="0.25">
      <c r="A9" s="6" t="s">
        <v>986</v>
      </c>
      <c r="B9" s="6" t="s">
        <v>987</v>
      </c>
      <c r="C9" s="12" t="s">
        <v>113</v>
      </c>
      <c r="D9" s="12" t="s">
        <v>115</v>
      </c>
      <c r="E9" s="12" t="s">
        <v>988</v>
      </c>
      <c r="F9" s="12" t="s">
        <v>989</v>
      </c>
      <c r="G9" s="12" t="s">
        <v>990</v>
      </c>
      <c r="H9" s="12" t="s">
        <v>991</v>
      </c>
      <c r="I9" s="12" t="s">
        <v>30</v>
      </c>
      <c r="J9" s="6" t="s">
        <v>962</v>
      </c>
      <c r="K9" s="6" t="s">
        <v>992</v>
      </c>
    </row>
    <row r="10" spans="1:11" ht="25.5" x14ac:dyDescent="0.25">
      <c r="A10" s="6" t="s">
        <v>993</v>
      </c>
      <c r="B10" s="6" t="s">
        <v>994</v>
      </c>
      <c r="C10" s="12" t="s">
        <v>113</v>
      </c>
      <c r="D10" s="12" t="s">
        <v>995</v>
      </c>
      <c r="E10" s="12" t="s">
        <v>996</v>
      </c>
      <c r="F10" s="12" t="s">
        <v>997</v>
      </c>
      <c r="G10" s="12" t="s">
        <v>191</v>
      </c>
      <c r="H10" s="12" t="s">
        <v>998</v>
      </c>
      <c r="I10" s="12" t="s">
        <v>30</v>
      </c>
      <c r="J10" s="6" t="s">
        <v>962</v>
      </c>
      <c r="K10" s="6"/>
    </row>
    <row r="11" spans="1:11" ht="25.5" x14ac:dyDescent="0.25">
      <c r="A11" s="6" t="s">
        <v>999</v>
      </c>
      <c r="B11" s="6" t="s">
        <v>1000</v>
      </c>
      <c r="C11" s="12" t="s">
        <v>113</v>
      </c>
      <c r="D11" s="12" t="s">
        <v>995</v>
      </c>
      <c r="E11" s="12" t="s">
        <v>1001</v>
      </c>
      <c r="F11" s="12" t="s">
        <v>1002</v>
      </c>
      <c r="G11" s="12" t="s">
        <v>254</v>
      </c>
      <c r="H11" s="12" t="s">
        <v>1003</v>
      </c>
      <c r="I11" s="12" t="s">
        <v>30</v>
      </c>
      <c r="J11" s="6" t="s">
        <v>962</v>
      </c>
      <c r="K11" s="6"/>
    </row>
    <row r="12" spans="1:11" ht="25.5" x14ac:dyDescent="0.25">
      <c r="A12" s="6" t="s">
        <v>1004</v>
      </c>
      <c r="B12" s="6" t="s">
        <v>1005</v>
      </c>
      <c r="C12" s="12" t="s">
        <v>113</v>
      </c>
      <c r="D12" s="12" t="s">
        <v>136</v>
      </c>
      <c r="E12" s="12" t="s">
        <v>1006</v>
      </c>
      <c r="F12" s="12" t="s">
        <v>982</v>
      </c>
      <c r="G12" s="12" t="s">
        <v>138</v>
      </c>
      <c r="H12" s="12" t="s">
        <v>261</v>
      </c>
      <c r="I12" s="12" t="s">
        <v>30</v>
      </c>
      <c r="J12" s="6" t="s">
        <v>962</v>
      </c>
      <c r="K12" s="6"/>
    </row>
    <row r="13" spans="1:11" ht="25.5" x14ac:dyDescent="0.25">
      <c r="A13" s="6" t="s">
        <v>1007</v>
      </c>
      <c r="B13" s="6" t="s">
        <v>1008</v>
      </c>
      <c r="C13" s="12" t="s">
        <v>113</v>
      </c>
      <c r="D13" s="12" t="s">
        <v>1009</v>
      </c>
      <c r="E13" s="12" t="s">
        <v>1010</v>
      </c>
      <c r="F13" s="12" t="s">
        <v>1011</v>
      </c>
      <c r="G13" s="12" t="s">
        <v>1012</v>
      </c>
      <c r="H13" s="12" t="s">
        <v>261</v>
      </c>
      <c r="I13" s="12" t="s">
        <v>30</v>
      </c>
      <c r="J13" s="6" t="s">
        <v>962</v>
      </c>
      <c r="K13" s="6"/>
    </row>
    <row r="14" spans="1:11" ht="25.5" x14ac:dyDescent="0.25">
      <c r="A14" s="6" t="s">
        <v>1013</v>
      </c>
      <c r="B14" s="6" t="s">
        <v>1014</v>
      </c>
      <c r="C14" s="12" t="s">
        <v>113</v>
      </c>
      <c r="D14" s="12" t="s">
        <v>1015</v>
      </c>
      <c r="E14" s="12" t="s">
        <v>1016</v>
      </c>
      <c r="F14" s="12" t="s">
        <v>1017</v>
      </c>
      <c r="G14" s="12" t="s">
        <v>1018</v>
      </c>
      <c r="H14" s="12" t="s">
        <v>1019</v>
      </c>
      <c r="I14" s="12" t="s">
        <v>30</v>
      </c>
      <c r="J14" s="6" t="s">
        <v>962</v>
      </c>
      <c r="K14" s="6"/>
    </row>
    <row r="15" spans="1:11" ht="25.5" x14ac:dyDescent="0.25">
      <c r="A15" s="6" t="s">
        <v>1020</v>
      </c>
      <c r="B15" s="6" t="s">
        <v>1021</v>
      </c>
      <c r="C15" s="12" t="s">
        <v>113</v>
      </c>
      <c r="D15" s="12" t="s">
        <v>1022</v>
      </c>
      <c r="E15" s="12" t="s">
        <v>1023</v>
      </c>
      <c r="F15" s="12" t="s">
        <v>1017</v>
      </c>
      <c r="G15" s="12" t="s">
        <v>1024</v>
      </c>
      <c r="H15" s="12" t="s">
        <v>1025</v>
      </c>
      <c r="I15" s="12" t="s">
        <v>30</v>
      </c>
      <c r="J15" s="6" t="s">
        <v>962</v>
      </c>
      <c r="K15" s="6"/>
    </row>
    <row r="16" spans="1:11" ht="25.5" x14ac:dyDescent="0.25">
      <c r="A16" s="6" t="s">
        <v>1026</v>
      </c>
      <c r="B16" s="6" t="s">
        <v>1027</v>
      </c>
      <c r="C16" s="12" t="s">
        <v>113</v>
      </c>
      <c r="D16" s="12" t="s">
        <v>1028</v>
      </c>
      <c r="E16" s="12" t="s">
        <v>1029</v>
      </c>
      <c r="F16" s="12" t="s">
        <v>1017</v>
      </c>
      <c r="G16" s="12" t="s">
        <v>305</v>
      </c>
      <c r="H16" s="12" t="s">
        <v>261</v>
      </c>
      <c r="I16" s="12" t="s">
        <v>30</v>
      </c>
      <c r="J16" s="6" t="s">
        <v>962</v>
      </c>
      <c r="K16" s="6"/>
    </row>
    <row r="17" spans="1:11" ht="25.5" x14ac:dyDescent="0.25">
      <c r="A17" s="6" t="s">
        <v>1030</v>
      </c>
      <c r="B17" s="6" t="s">
        <v>1031</v>
      </c>
      <c r="C17" s="12" t="s">
        <v>113</v>
      </c>
      <c r="D17" s="12" t="s">
        <v>1032</v>
      </c>
      <c r="E17" s="12" t="s">
        <v>1033</v>
      </c>
      <c r="F17" s="12" t="s">
        <v>1034</v>
      </c>
      <c r="G17" s="12" t="s">
        <v>1035</v>
      </c>
      <c r="H17" s="12" t="s">
        <v>1036</v>
      </c>
      <c r="I17" s="12" t="s">
        <v>30</v>
      </c>
      <c r="J17" s="6" t="s">
        <v>962</v>
      </c>
      <c r="K17" s="6"/>
    </row>
    <row r="18" spans="1:11" ht="25.5" x14ac:dyDescent="0.25">
      <c r="A18" s="6" t="s">
        <v>1037</v>
      </c>
      <c r="B18" s="6" t="s">
        <v>1038</v>
      </c>
      <c r="C18" s="12" t="s">
        <v>113</v>
      </c>
      <c r="D18" s="12" t="s">
        <v>1039</v>
      </c>
      <c r="E18" s="12" t="s">
        <v>1040</v>
      </c>
      <c r="F18" s="12" t="s">
        <v>1041</v>
      </c>
      <c r="G18" s="12" t="s">
        <v>1042</v>
      </c>
      <c r="H18" s="12" t="s">
        <v>407</v>
      </c>
      <c r="I18" s="12" t="s">
        <v>30</v>
      </c>
      <c r="J18" s="6" t="s">
        <v>962</v>
      </c>
      <c r="K18" s="6"/>
    </row>
    <row r="19" spans="1:11" ht="25.5" x14ac:dyDescent="0.25">
      <c r="A19" s="6" t="s">
        <v>1043</v>
      </c>
      <c r="B19" s="6" t="s">
        <v>1044</v>
      </c>
      <c r="C19" s="12" t="s">
        <v>113</v>
      </c>
      <c r="D19" s="12" t="s">
        <v>1045</v>
      </c>
      <c r="E19" s="12" t="s">
        <v>1046</v>
      </c>
      <c r="F19" s="12" t="s">
        <v>1047</v>
      </c>
      <c r="G19" s="12" t="s">
        <v>1048</v>
      </c>
      <c r="H19" s="12" t="s">
        <v>1049</v>
      </c>
      <c r="I19" s="12" t="s">
        <v>30</v>
      </c>
      <c r="J19" s="6" t="s">
        <v>962</v>
      </c>
      <c r="K19" s="6" t="s">
        <v>1050</v>
      </c>
    </row>
    <row r="20" spans="1:11" ht="25.5" x14ac:dyDescent="0.25">
      <c r="A20" s="6" t="s">
        <v>1051</v>
      </c>
      <c r="B20" s="6" t="s">
        <v>1052</v>
      </c>
      <c r="C20" s="12" t="s">
        <v>113</v>
      </c>
      <c r="D20" s="12" t="s">
        <v>1053</v>
      </c>
      <c r="E20" s="12" t="s">
        <v>1054</v>
      </c>
      <c r="F20" s="12" t="s">
        <v>1047</v>
      </c>
      <c r="G20" s="12" t="s">
        <v>1055</v>
      </c>
      <c r="H20" s="12" t="s">
        <v>1049</v>
      </c>
      <c r="I20" s="12" t="s">
        <v>30</v>
      </c>
      <c r="J20" s="6" t="s">
        <v>962</v>
      </c>
      <c r="K20" s="6" t="s">
        <v>1056</v>
      </c>
    </row>
    <row r="21" spans="1:11" ht="25.5" x14ac:dyDescent="0.25">
      <c r="A21" s="6" t="s">
        <v>1057</v>
      </c>
      <c r="B21" s="6" t="s">
        <v>1058</v>
      </c>
      <c r="C21" s="12" t="s">
        <v>1059</v>
      </c>
      <c r="D21" s="12" t="s">
        <v>1060</v>
      </c>
      <c r="E21" s="12" t="s">
        <v>1061</v>
      </c>
      <c r="F21" s="12" t="s">
        <v>1062</v>
      </c>
      <c r="G21" s="12" t="s">
        <v>1063</v>
      </c>
      <c r="H21" s="12" t="s">
        <v>1064</v>
      </c>
      <c r="I21" s="12" t="s">
        <v>30</v>
      </c>
      <c r="J21" s="6" t="s">
        <v>962</v>
      </c>
      <c r="K21" s="6" t="s">
        <v>1065</v>
      </c>
    </row>
    <row r="22" spans="1:11" ht="25.5" x14ac:dyDescent="0.25">
      <c r="A22" s="6" t="s">
        <v>1066</v>
      </c>
      <c r="B22" s="6" t="s">
        <v>1067</v>
      </c>
      <c r="C22" s="12" t="s">
        <v>113</v>
      </c>
      <c r="D22" s="12" t="s">
        <v>1068</v>
      </c>
      <c r="E22" s="12" t="s">
        <v>1069</v>
      </c>
      <c r="F22" s="12" t="s">
        <v>1070</v>
      </c>
      <c r="G22" s="12" t="s">
        <v>1071</v>
      </c>
      <c r="H22" s="12" t="s">
        <v>1072</v>
      </c>
      <c r="I22" s="12" t="s">
        <v>30</v>
      </c>
      <c r="J22" s="6" t="s">
        <v>962</v>
      </c>
      <c r="K22" s="6" t="s">
        <v>1073</v>
      </c>
    </row>
    <row r="23" spans="1:11" ht="25.5" x14ac:dyDescent="0.25">
      <c r="A23" s="6" t="s">
        <v>1074</v>
      </c>
      <c r="B23" s="6" t="s">
        <v>1075</v>
      </c>
      <c r="C23" s="12" t="s">
        <v>113</v>
      </c>
      <c r="D23" s="12" t="s">
        <v>1076</v>
      </c>
      <c r="E23" s="12" t="s">
        <v>1077</v>
      </c>
      <c r="F23" s="12" t="s">
        <v>1070</v>
      </c>
      <c r="G23" s="12" t="s">
        <v>1078</v>
      </c>
      <c r="H23" s="12" t="s">
        <v>1079</v>
      </c>
      <c r="I23" s="12" t="s">
        <v>30</v>
      </c>
      <c r="J23" s="6" t="s">
        <v>962</v>
      </c>
      <c r="K23" s="6" t="s">
        <v>1080</v>
      </c>
    </row>
    <row r="24" spans="1:11" ht="25.5" x14ac:dyDescent="0.25">
      <c r="A24" s="6" t="s">
        <v>1081</v>
      </c>
      <c r="B24" s="6" t="s">
        <v>1082</v>
      </c>
      <c r="C24" s="12" t="s">
        <v>1083</v>
      </c>
      <c r="D24" s="12" t="s">
        <v>1084</v>
      </c>
      <c r="E24" s="12" t="s">
        <v>1085</v>
      </c>
      <c r="F24" s="12" t="s">
        <v>1086</v>
      </c>
      <c r="G24" s="12" t="s">
        <v>1087</v>
      </c>
      <c r="H24" s="12" t="s">
        <v>1088</v>
      </c>
      <c r="I24" s="12" t="s">
        <v>30</v>
      </c>
      <c r="J24" s="6" t="s">
        <v>962</v>
      </c>
      <c r="K24" s="6" t="s">
        <v>1089</v>
      </c>
    </row>
    <row r="25" spans="1:11" ht="25.5" x14ac:dyDescent="0.25">
      <c r="A25" s="7" t="s">
        <v>1090</v>
      </c>
      <c r="B25" s="7" t="s">
        <v>1091</v>
      </c>
      <c r="C25" s="13" t="s">
        <v>1092</v>
      </c>
      <c r="D25" s="13" t="s">
        <v>1093</v>
      </c>
      <c r="E25" s="13" t="s">
        <v>1094</v>
      </c>
      <c r="F25" s="13" t="s">
        <v>1095</v>
      </c>
      <c r="G25" s="13" t="s">
        <v>1096</v>
      </c>
      <c r="H25" s="13" t="s">
        <v>1097</v>
      </c>
      <c r="I25" s="13" t="s">
        <v>30</v>
      </c>
      <c r="J25" s="7" t="s">
        <v>962</v>
      </c>
      <c r="K25" s="7" t="s">
        <v>1098</v>
      </c>
    </row>
  </sheetData>
  <mergeCells count="2">
    <mergeCell ref="A1:K1"/>
    <mergeCell ref="A2:K2"/>
  </mergeCells>
  <phoneticPr fontId="15" type="noConversion"/>
  <dataValidations count="2">
    <dataValidation type="list" sqref="C5:C25" xr:uid="{00000000-0002-0000-0300-000000000000}">
      <formula1>"api,dom,hybrid,connector,recording,derived,source-only"</formula1>
    </dataValidation>
    <dataValidation type="list" sqref="I5:I25" xr:uid="{00000000-0002-0000-0300-000001000000}">
      <formula1>"已确认-强,已确认-中,已确认-弱,部分确认,执行阻断,v4未发现/待确认"</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
  <sheetViews>
    <sheetView showGridLines="0" workbookViewId="0"/>
  </sheetViews>
  <sheetFormatPr defaultRowHeight="15" x14ac:dyDescent="0.25"/>
  <cols>
    <col min="1" max="1" width="31" customWidth="1"/>
    <col min="2" max="2" width="28" customWidth="1"/>
    <col min="3" max="3" width="18" customWidth="1"/>
    <col min="4" max="4" width="30" customWidth="1"/>
    <col min="5" max="6" width="56" customWidth="1"/>
    <col min="7" max="7" width="48" customWidth="1"/>
    <col min="8" max="8" width="20" customWidth="1"/>
  </cols>
  <sheetData>
    <row r="1" spans="1:8" ht="30" customHeight="1" x14ac:dyDescent="0.25">
      <c r="A1" s="85" t="s">
        <v>1099</v>
      </c>
      <c r="B1" s="73"/>
      <c r="C1" s="73"/>
      <c r="D1" s="73"/>
      <c r="E1" s="73"/>
      <c r="F1" s="73"/>
      <c r="G1" s="73"/>
      <c r="H1" s="73"/>
    </row>
    <row r="2" spans="1:8" ht="36" customHeight="1" x14ac:dyDescent="0.25">
      <c r="A2" s="86" t="s">
        <v>1100</v>
      </c>
      <c r="B2" s="73"/>
      <c r="C2" s="73"/>
      <c r="D2" s="73"/>
      <c r="E2" s="73"/>
      <c r="F2" s="73"/>
      <c r="G2" s="73"/>
      <c r="H2" s="73"/>
    </row>
    <row r="4" spans="1:8" ht="36" customHeight="1" x14ac:dyDescent="0.25">
      <c r="A4" s="2" t="s">
        <v>1101</v>
      </c>
      <c r="B4" s="3" t="s">
        <v>1102</v>
      </c>
      <c r="C4" s="3" t="s">
        <v>1103</v>
      </c>
      <c r="D4" s="3" t="s">
        <v>1104</v>
      </c>
      <c r="E4" s="3" t="s">
        <v>1105</v>
      </c>
      <c r="F4" s="3" t="s">
        <v>1106</v>
      </c>
      <c r="G4" s="3" t="s">
        <v>1107</v>
      </c>
      <c r="H4" s="4" t="s">
        <v>795</v>
      </c>
    </row>
    <row r="5" spans="1:8" x14ac:dyDescent="0.25">
      <c r="A5" s="5" t="s">
        <v>1108</v>
      </c>
      <c r="B5" s="5" t="s">
        <v>1109</v>
      </c>
      <c r="C5" s="5" t="s">
        <v>1110</v>
      </c>
      <c r="D5" s="5" t="s">
        <v>1111</v>
      </c>
      <c r="E5" s="8" t="s">
        <v>1112</v>
      </c>
      <c r="F5" s="8" t="s">
        <v>1113</v>
      </c>
      <c r="G5" s="5" t="s">
        <v>1114</v>
      </c>
      <c r="H5" s="5" t="s">
        <v>1115</v>
      </c>
    </row>
    <row r="6" spans="1:8" x14ac:dyDescent="0.25">
      <c r="A6" s="6" t="s">
        <v>1116</v>
      </c>
      <c r="B6" s="6" t="s">
        <v>1117</v>
      </c>
      <c r="C6" s="6" t="s">
        <v>1118</v>
      </c>
      <c r="D6" s="6" t="s">
        <v>1119</v>
      </c>
      <c r="E6" s="9" t="s">
        <v>1120</v>
      </c>
      <c r="F6" s="9" t="s">
        <v>1121</v>
      </c>
      <c r="G6" s="6" t="s">
        <v>1122</v>
      </c>
      <c r="H6" s="6" t="s">
        <v>1115</v>
      </c>
    </row>
    <row r="7" spans="1:8" x14ac:dyDescent="0.25">
      <c r="A7" s="6" t="s">
        <v>1123</v>
      </c>
      <c r="B7" s="6" t="s">
        <v>1124</v>
      </c>
      <c r="C7" s="6" t="s">
        <v>1118</v>
      </c>
      <c r="D7" s="6" t="s">
        <v>1125</v>
      </c>
      <c r="E7" s="9" t="s">
        <v>320</v>
      </c>
      <c r="F7" s="9" t="s">
        <v>1126</v>
      </c>
      <c r="G7" s="6" t="s">
        <v>1127</v>
      </c>
      <c r="H7" s="6" t="s">
        <v>1115</v>
      </c>
    </row>
    <row r="8" spans="1:8" x14ac:dyDescent="0.25">
      <c r="A8" s="6" t="s">
        <v>1128</v>
      </c>
      <c r="B8" s="6" t="s">
        <v>1129</v>
      </c>
      <c r="C8" s="6" t="s">
        <v>1118</v>
      </c>
      <c r="D8" s="6" t="s">
        <v>1130</v>
      </c>
      <c r="E8" s="9" t="s">
        <v>364</v>
      </c>
      <c r="F8" s="9" t="s">
        <v>1126</v>
      </c>
      <c r="G8" s="6" t="s">
        <v>1131</v>
      </c>
      <c r="H8" s="6" t="s">
        <v>1115</v>
      </c>
    </row>
    <row r="9" spans="1:8" x14ac:dyDescent="0.25">
      <c r="A9" s="6" t="s">
        <v>1132</v>
      </c>
      <c r="B9" s="6" t="s">
        <v>1133</v>
      </c>
      <c r="C9" s="6" t="s">
        <v>1118</v>
      </c>
      <c r="D9" s="6" t="s">
        <v>1134</v>
      </c>
      <c r="E9" s="9" t="s">
        <v>387</v>
      </c>
      <c r="F9" s="9" t="s">
        <v>1135</v>
      </c>
      <c r="G9" s="6" t="s">
        <v>767</v>
      </c>
      <c r="H9" s="6" t="s">
        <v>1115</v>
      </c>
    </row>
    <row r="10" spans="1:8" x14ac:dyDescent="0.25">
      <c r="A10" s="6" t="s">
        <v>1136</v>
      </c>
      <c r="B10" s="6" t="s">
        <v>1137</v>
      </c>
      <c r="C10" s="6" t="s">
        <v>1118</v>
      </c>
      <c r="D10" s="6" t="s">
        <v>1138</v>
      </c>
      <c r="E10" s="9" t="s">
        <v>285</v>
      </c>
      <c r="F10" s="9" t="s">
        <v>1139</v>
      </c>
      <c r="G10" s="6" t="s">
        <v>1140</v>
      </c>
      <c r="H10" s="6" t="s">
        <v>1115</v>
      </c>
    </row>
    <row r="11" spans="1:8" x14ac:dyDescent="0.25">
      <c r="A11" s="6" t="s">
        <v>1141</v>
      </c>
      <c r="B11" s="6" t="s">
        <v>1142</v>
      </c>
      <c r="C11" s="6" t="s">
        <v>336</v>
      </c>
      <c r="D11" s="6" t="s">
        <v>1143</v>
      </c>
      <c r="E11" s="9" t="s">
        <v>1144</v>
      </c>
      <c r="F11" s="9" t="s">
        <v>1145</v>
      </c>
      <c r="G11" s="6" t="s">
        <v>1146</v>
      </c>
      <c r="H11" s="6" t="s">
        <v>1115</v>
      </c>
    </row>
    <row r="12" spans="1:8" x14ac:dyDescent="0.25">
      <c r="A12" s="6" t="s">
        <v>1147</v>
      </c>
      <c r="B12" s="6" t="s">
        <v>1148</v>
      </c>
      <c r="C12" s="6" t="s">
        <v>82</v>
      </c>
      <c r="D12" s="6" t="s">
        <v>1149</v>
      </c>
      <c r="E12" s="9" t="s">
        <v>269</v>
      </c>
      <c r="F12" s="9" t="s">
        <v>1150</v>
      </c>
      <c r="G12" s="6" t="s">
        <v>969</v>
      </c>
      <c r="H12" s="6" t="s">
        <v>1115</v>
      </c>
    </row>
    <row r="13" spans="1:8" x14ac:dyDescent="0.25">
      <c r="A13" s="6" t="s">
        <v>1151</v>
      </c>
      <c r="B13" s="6" t="s">
        <v>1152</v>
      </c>
      <c r="C13" s="6" t="s">
        <v>82</v>
      </c>
      <c r="D13" s="6" t="s">
        <v>1153</v>
      </c>
      <c r="E13" s="9" t="s">
        <v>1154</v>
      </c>
      <c r="F13" s="9" t="s">
        <v>1155</v>
      </c>
      <c r="G13" s="6" t="s">
        <v>969</v>
      </c>
      <c r="H13" s="6" t="s">
        <v>1115</v>
      </c>
    </row>
    <row r="14" spans="1:8" x14ac:dyDescent="0.25">
      <c r="A14" s="6" t="s">
        <v>1156</v>
      </c>
      <c r="B14" s="6" t="s">
        <v>1157</v>
      </c>
      <c r="C14" s="6" t="s">
        <v>123</v>
      </c>
      <c r="D14" s="6" t="s">
        <v>110</v>
      </c>
      <c r="E14" s="9" t="s">
        <v>1158</v>
      </c>
      <c r="F14" s="9" t="s">
        <v>1159</v>
      </c>
      <c r="G14" s="6" t="s">
        <v>1160</v>
      </c>
      <c r="H14" s="6" t="s">
        <v>1115</v>
      </c>
    </row>
    <row r="15" spans="1:8" x14ac:dyDescent="0.25">
      <c r="A15" s="6" t="s">
        <v>1161</v>
      </c>
      <c r="B15" s="6" t="s">
        <v>1162</v>
      </c>
      <c r="C15" s="6" t="s">
        <v>123</v>
      </c>
      <c r="D15" s="6" t="s">
        <v>1163</v>
      </c>
      <c r="E15" s="9" t="s">
        <v>1164</v>
      </c>
      <c r="F15" s="9" t="s">
        <v>1165</v>
      </c>
      <c r="G15" s="6" t="s">
        <v>128</v>
      </c>
      <c r="H15" s="6" t="s">
        <v>32</v>
      </c>
    </row>
    <row r="16" spans="1:8" x14ac:dyDescent="0.25">
      <c r="A16" s="6" t="s">
        <v>1166</v>
      </c>
      <c r="B16" s="6" t="s">
        <v>1167</v>
      </c>
      <c r="C16" s="6" t="s">
        <v>123</v>
      </c>
      <c r="D16" s="6" t="s">
        <v>1168</v>
      </c>
      <c r="E16" s="9" t="s">
        <v>144</v>
      </c>
      <c r="F16" s="9" t="s">
        <v>1169</v>
      </c>
      <c r="G16" s="6" t="s">
        <v>1170</v>
      </c>
      <c r="H16" s="6" t="s">
        <v>36</v>
      </c>
    </row>
    <row r="17" spans="1:8" x14ac:dyDescent="0.25">
      <c r="A17" s="6" t="s">
        <v>1171</v>
      </c>
      <c r="B17" s="6" t="s">
        <v>1172</v>
      </c>
      <c r="C17" s="6" t="s">
        <v>123</v>
      </c>
      <c r="D17" s="6" t="s">
        <v>1173</v>
      </c>
      <c r="E17" s="9" t="s">
        <v>144</v>
      </c>
      <c r="F17" s="9" t="s">
        <v>1169</v>
      </c>
      <c r="G17" s="6" t="s">
        <v>1170</v>
      </c>
      <c r="H17" s="6" t="s">
        <v>36</v>
      </c>
    </row>
    <row r="18" spans="1:8" x14ac:dyDescent="0.25">
      <c r="A18" s="6" t="s">
        <v>1174</v>
      </c>
      <c r="B18" s="6" t="s">
        <v>1175</v>
      </c>
      <c r="C18" s="6" t="s">
        <v>123</v>
      </c>
      <c r="D18" s="6" t="s">
        <v>1176</v>
      </c>
      <c r="E18" s="9" t="s">
        <v>144</v>
      </c>
      <c r="F18" s="9" t="s">
        <v>1169</v>
      </c>
      <c r="G18" s="6" t="s">
        <v>1170</v>
      </c>
      <c r="H18" s="6" t="s">
        <v>36</v>
      </c>
    </row>
    <row r="19" spans="1:8" x14ac:dyDescent="0.25">
      <c r="A19" s="6" t="s">
        <v>1177</v>
      </c>
      <c r="B19" s="6" t="s">
        <v>1178</v>
      </c>
      <c r="C19" s="6" t="s">
        <v>1179</v>
      </c>
      <c r="D19" s="6" t="s">
        <v>1180</v>
      </c>
      <c r="E19" s="9" t="s">
        <v>1181</v>
      </c>
      <c r="F19" s="9" t="s">
        <v>1182</v>
      </c>
      <c r="G19" s="6" t="s">
        <v>1183</v>
      </c>
      <c r="H19" s="6" t="s">
        <v>1115</v>
      </c>
    </row>
    <row r="20" spans="1:8" x14ac:dyDescent="0.25">
      <c r="A20" s="6" t="s">
        <v>1184</v>
      </c>
      <c r="B20" s="6" t="s">
        <v>1185</v>
      </c>
      <c r="C20" s="6" t="s">
        <v>1186</v>
      </c>
      <c r="D20" s="6" t="s">
        <v>1187</v>
      </c>
      <c r="E20" s="9" t="s">
        <v>1188</v>
      </c>
      <c r="F20" s="9" t="s">
        <v>1189</v>
      </c>
      <c r="G20" s="6" t="s">
        <v>1190</v>
      </c>
      <c r="H20" s="6" t="s">
        <v>1115</v>
      </c>
    </row>
    <row r="21" spans="1:8" x14ac:dyDescent="0.25">
      <c r="A21" s="6" t="s">
        <v>1191</v>
      </c>
      <c r="B21" s="6" t="s">
        <v>1192</v>
      </c>
      <c r="C21" s="6" t="s">
        <v>1193</v>
      </c>
      <c r="D21" s="6" t="s">
        <v>1194</v>
      </c>
      <c r="E21" s="9" t="s">
        <v>1195</v>
      </c>
      <c r="F21" s="9" t="s">
        <v>1196</v>
      </c>
      <c r="G21" s="6" t="s">
        <v>1197</v>
      </c>
      <c r="H21" s="6" t="s">
        <v>1115</v>
      </c>
    </row>
    <row r="22" spans="1:8" x14ac:dyDescent="0.25">
      <c r="A22" s="7" t="s">
        <v>1198</v>
      </c>
      <c r="B22" s="7" t="s">
        <v>1199</v>
      </c>
      <c r="C22" s="7" t="s">
        <v>1200</v>
      </c>
      <c r="D22" s="7" t="s">
        <v>1201</v>
      </c>
      <c r="E22" s="10" t="s">
        <v>1202</v>
      </c>
      <c r="F22" s="10" t="s">
        <v>1203</v>
      </c>
      <c r="G22" s="7" t="s">
        <v>1204</v>
      </c>
      <c r="H22" s="7" t="s">
        <v>1115</v>
      </c>
    </row>
    <row r="23" spans="1:8" x14ac:dyDescent="0.25">
      <c r="A23" t="s">
        <v>1670</v>
      </c>
      <c r="B23" t="s">
        <v>1671</v>
      </c>
      <c r="C23" t="s">
        <v>123</v>
      </c>
      <c r="D23" t="s">
        <v>1672</v>
      </c>
      <c r="E23" t="s">
        <v>1673</v>
      </c>
      <c r="F23" t="s">
        <v>1674</v>
      </c>
      <c r="G23" t="s">
        <v>1675</v>
      </c>
      <c r="H23" t="s">
        <v>1676</v>
      </c>
    </row>
    <row r="24" spans="1:8" x14ac:dyDescent="0.25">
      <c r="A24" t="s">
        <v>1677</v>
      </c>
      <c r="B24" t="s">
        <v>1678</v>
      </c>
      <c r="C24" t="s">
        <v>1679</v>
      </c>
      <c r="D24" t="s">
        <v>1680</v>
      </c>
      <c r="E24" t="s">
        <v>1681</v>
      </c>
      <c r="F24" t="s">
        <v>1682</v>
      </c>
      <c r="G24" t="s">
        <v>1683</v>
      </c>
      <c r="H24" t="s">
        <v>1684</v>
      </c>
    </row>
    <row r="25" spans="1:8" x14ac:dyDescent="0.25">
      <c r="A25" t="s">
        <v>1685</v>
      </c>
      <c r="B25" t="s">
        <v>1686</v>
      </c>
      <c r="C25" t="s">
        <v>1687</v>
      </c>
      <c r="D25" t="s">
        <v>1688</v>
      </c>
      <c r="E25" t="s">
        <v>1689</v>
      </c>
      <c r="F25" t="s">
        <v>1690</v>
      </c>
      <c r="G25" t="s">
        <v>1691</v>
      </c>
      <c r="H25" t="s">
        <v>1692</v>
      </c>
    </row>
    <row r="26" spans="1:8" x14ac:dyDescent="0.25">
      <c r="A26" t="s">
        <v>1693</v>
      </c>
      <c r="B26" t="s">
        <v>1694</v>
      </c>
      <c r="C26" t="s">
        <v>1687</v>
      </c>
      <c r="D26" t="s">
        <v>1688</v>
      </c>
      <c r="E26" t="s">
        <v>1695</v>
      </c>
      <c r="F26" t="s">
        <v>1696</v>
      </c>
      <c r="G26" t="s">
        <v>1697</v>
      </c>
      <c r="H26" t="s">
        <v>1698</v>
      </c>
    </row>
  </sheetData>
  <mergeCells count="2">
    <mergeCell ref="A1:H1"/>
    <mergeCell ref="A2:H2"/>
  </mergeCells>
  <phoneticPr fontId="15" type="noConversion"/>
  <dataValidations count="1">
    <dataValidation type="list" sqref="H5:H22" xr:uid="{00000000-0002-0000-0400-000000000000}">
      <formula1>"已确认,部分确认,执行阻断,v4未发现/待确认"</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08"/>
  <sheetViews>
    <sheetView showGridLines="0" workbookViewId="0"/>
  </sheetViews>
  <sheetFormatPr defaultRowHeight="15" x14ac:dyDescent="0.25"/>
  <cols>
    <col min="1" max="1" width="31" customWidth="1"/>
    <col min="2" max="2" width="34" customWidth="1"/>
    <col min="3" max="3" width="36" customWidth="1"/>
    <col min="4" max="4" width="54" customWidth="1"/>
    <col min="5" max="7" width="18" customWidth="1"/>
  </cols>
  <sheetData>
    <row r="1" spans="1:7" ht="21" x14ac:dyDescent="0.35">
      <c r="A1" s="88" t="s">
        <v>1205</v>
      </c>
      <c r="B1" s="73"/>
      <c r="C1" s="73"/>
      <c r="D1" s="73"/>
      <c r="E1" s="73"/>
      <c r="F1" s="73"/>
      <c r="G1" s="73"/>
    </row>
    <row r="2" spans="1:7" x14ac:dyDescent="0.25">
      <c r="A2" s="89" t="s">
        <v>1206</v>
      </c>
      <c r="B2" s="73"/>
      <c r="C2" s="73"/>
      <c r="D2" s="73"/>
      <c r="E2" s="73"/>
      <c r="F2" s="73"/>
      <c r="G2" s="73"/>
    </row>
    <row r="4" spans="1:7" x14ac:dyDescent="0.25">
      <c r="A4" s="1" t="s">
        <v>1207</v>
      </c>
      <c r="B4" s="1" t="s">
        <v>1208</v>
      </c>
      <c r="D4" s="1" t="s">
        <v>1209</v>
      </c>
      <c r="E4" s="1" t="s">
        <v>1210</v>
      </c>
    </row>
    <row r="5" spans="1:7" x14ac:dyDescent="0.25">
      <c r="A5" s="15" t="s">
        <v>27</v>
      </c>
      <c r="B5" s="15">
        <f>COUNTIF(原始字段追溯!$E$5:$E$255,"字段")</f>
        <v>180</v>
      </c>
      <c r="D5" t="s">
        <v>30</v>
      </c>
      <c r="E5">
        <f>COUNTIF(字段母版!$S$5:$S$191,D5)</f>
        <v>137</v>
      </c>
    </row>
    <row r="6" spans="1:7" x14ac:dyDescent="0.25">
      <c r="A6" s="16" t="s">
        <v>1211</v>
      </c>
      <c r="B6" s="16">
        <f>COUNTIFS(原始字段追溯!$E$5:$E$255,"字段",原始字段追溯!$N$5:$N$255,"&lt;&gt;")</f>
        <v>180</v>
      </c>
      <c r="D6" t="s">
        <v>1212</v>
      </c>
      <c r="E6">
        <f>COUNTIF(字段母版!$S$5:$S$191,D6)</f>
        <v>0</v>
      </c>
    </row>
    <row r="7" spans="1:7" x14ac:dyDescent="0.25">
      <c r="A7" s="16" t="s">
        <v>1213</v>
      </c>
      <c r="B7" s="21">
        <f>IF(B5=0,0,B6/B5)</f>
        <v>1</v>
      </c>
      <c r="D7" t="s">
        <v>1214</v>
      </c>
      <c r="E7">
        <f>COUNTIF(字段母版!$S$5:$S$191,D7)</f>
        <v>0</v>
      </c>
    </row>
    <row r="8" spans="1:7" x14ac:dyDescent="0.25">
      <c r="A8" s="16" t="s">
        <v>1215</v>
      </c>
      <c r="B8" s="16">
        <f>COUNTA(字段母版!$A$5:$A$191)</f>
        <v>187</v>
      </c>
      <c r="D8" t="s">
        <v>32</v>
      </c>
      <c r="E8">
        <f>COUNTIF(字段母版!$S$5:$S$191,D8)</f>
        <v>27</v>
      </c>
    </row>
    <row r="9" spans="1:7" x14ac:dyDescent="0.25">
      <c r="A9" s="16" t="s">
        <v>1216</v>
      </c>
      <c r="B9" s="16">
        <f>COUNTA('Risk-Control关系'!$A$5:$A$72)</f>
        <v>68</v>
      </c>
      <c r="D9" t="s">
        <v>34</v>
      </c>
      <c r="E9">
        <f>COUNTIF(字段母版!$S$5:$S$191,D9)</f>
        <v>0</v>
      </c>
    </row>
    <row r="10" spans="1:7" x14ac:dyDescent="0.25">
      <c r="A10" s="16" t="s">
        <v>1217</v>
      </c>
      <c r="B10" s="16">
        <f>COUNTIF(V4接口证据!$I$5:$I$25,"已确认-强")</f>
        <v>21</v>
      </c>
      <c r="D10" t="s">
        <v>36</v>
      </c>
      <c r="E10">
        <f>COUNTIF(字段母版!$S$5:$S$191,D10)</f>
        <v>13</v>
      </c>
    </row>
    <row r="11" spans="1:7" x14ac:dyDescent="0.25">
      <c r="A11" s="17" t="s">
        <v>1218</v>
      </c>
      <c r="B11" s="17">
        <f>COUNTIF(字段母版!$S$5:$S$191,"v4未发现/待确认")+COUNTIF(字段母版!$S$5:$S$191,"部分确认")+COUNTIF(字段母版!$S$5:$S$191,"执行阻断")</f>
        <v>40</v>
      </c>
      <c r="D11" t="s">
        <v>236</v>
      </c>
      <c r="E11">
        <f>COUNTIF(字段母版!$S$5:$S$191,D11)</f>
        <v>2</v>
      </c>
    </row>
    <row r="14" spans="1:7" x14ac:dyDescent="0.25">
      <c r="A14" s="87" t="s">
        <v>1219</v>
      </c>
      <c r="B14" s="73"/>
      <c r="C14" s="73"/>
      <c r="D14" s="73"/>
      <c r="E14" s="73"/>
      <c r="F14" s="73"/>
      <c r="G14" s="73"/>
    </row>
    <row r="15" spans="1:7" x14ac:dyDescent="0.25">
      <c r="A15" s="22" t="s">
        <v>1220</v>
      </c>
      <c r="B15" s="22" t="s">
        <v>1221</v>
      </c>
      <c r="C15" s="22" t="s">
        <v>1222</v>
      </c>
      <c r="D15" s="22" t="s">
        <v>1223</v>
      </c>
    </row>
    <row r="16" spans="1:7" x14ac:dyDescent="0.25">
      <c r="A16" s="23" t="str">
        <f>IF(AND(原始字段追溯!$E$5="字段",原始字段追溯!$N$5=""),原始字段追溯!$A$5,"")</f>
        <v/>
      </c>
      <c r="B16" s="23" t="str">
        <f>IF(A16="","",原始字段追溯!$C$5&amp;"!"&amp;原始字段追溯!$D$5)</f>
        <v/>
      </c>
      <c r="C16" s="23" t="str">
        <f>IF(A16="","",原始字段追溯!$H$5)</f>
        <v/>
      </c>
      <c r="D16" s="23" t="str">
        <f t="shared" ref="D16:D79" si="0">IF(A16="","","正式源字段未映射")</f>
        <v/>
      </c>
    </row>
    <row r="17" spans="1:4" x14ac:dyDescent="0.25">
      <c r="A17" s="24" t="str">
        <f>IF(AND(原始字段追溯!$E$6="字段",原始字段追溯!$N$6=""),原始字段追溯!$A$6,"")</f>
        <v/>
      </c>
      <c r="B17" s="24" t="str">
        <f>IF(A17="","",原始字段追溯!$C$6&amp;"!"&amp;原始字段追溯!$D$6)</f>
        <v/>
      </c>
      <c r="C17" s="24" t="str">
        <f>IF(A17="","",原始字段追溯!$H$6)</f>
        <v/>
      </c>
      <c r="D17" s="24" t="str">
        <f t="shared" si="0"/>
        <v/>
      </c>
    </row>
    <row r="18" spans="1:4" x14ac:dyDescent="0.25">
      <c r="A18" s="24" t="str">
        <f>IF(AND(原始字段追溯!$E$7="字段",原始字段追溯!$N$7=""),原始字段追溯!$A$7,"")</f>
        <v/>
      </c>
      <c r="B18" s="24" t="str">
        <f>IF(A18="","",原始字段追溯!$C$7&amp;"!"&amp;原始字段追溯!$D$7)</f>
        <v/>
      </c>
      <c r="C18" s="24" t="str">
        <f>IF(A18="","",原始字段追溯!$H$7)</f>
        <v/>
      </c>
      <c r="D18" s="24" t="str">
        <f t="shared" si="0"/>
        <v/>
      </c>
    </row>
    <row r="19" spans="1:4" x14ac:dyDescent="0.25">
      <c r="A19" s="24" t="str">
        <f>IF(AND(原始字段追溯!$E$8="字段",原始字段追溯!$N$8=""),原始字段追溯!$A$8,"")</f>
        <v/>
      </c>
      <c r="B19" s="24" t="str">
        <f>IF(A19="","",原始字段追溯!$C$8&amp;"!"&amp;原始字段追溯!$D$8)</f>
        <v/>
      </c>
      <c r="C19" s="24" t="str">
        <f>IF(A19="","",原始字段追溯!$H$8)</f>
        <v/>
      </c>
      <c r="D19" s="24" t="str">
        <f t="shared" si="0"/>
        <v/>
      </c>
    </row>
    <row r="20" spans="1:4" x14ac:dyDescent="0.25">
      <c r="A20" s="24" t="str">
        <f>IF(AND(原始字段追溯!$E$9="字段",原始字段追溯!$N$9=""),原始字段追溯!$A$9,"")</f>
        <v/>
      </c>
      <c r="B20" s="24" t="str">
        <f>IF(A20="","",原始字段追溯!$C$9&amp;"!"&amp;原始字段追溯!$D$9)</f>
        <v/>
      </c>
      <c r="C20" s="24" t="str">
        <f>IF(A20="","",原始字段追溯!$H$9)</f>
        <v/>
      </c>
      <c r="D20" s="24" t="str">
        <f t="shared" si="0"/>
        <v/>
      </c>
    </row>
    <row r="21" spans="1:4" x14ac:dyDescent="0.25">
      <c r="A21" s="24" t="str">
        <f>IF(AND(原始字段追溯!$E$10="字段",原始字段追溯!$N$10=""),原始字段追溯!$A$10,"")</f>
        <v/>
      </c>
      <c r="B21" s="24" t="str">
        <f>IF(A21="","",原始字段追溯!$C$10&amp;"!"&amp;原始字段追溯!$D$10)</f>
        <v/>
      </c>
      <c r="C21" s="24" t="str">
        <f>IF(A21="","",原始字段追溯!$H$10)</f>
        <v/>
      </c>
      <c r="D21" s="24" t="str">
        <f t="shared" si="0"/>
        <v/>
      </c>
    </row>
    <row r="22" spans="1:4" x14ac:dyDescent="0.25">
      <c r="A22" s="24" t="str">
        <f>IF(AND(原始字段追溯!$E$11="字段",原始字段追溯!$N$11=""),原始字段追溯!$A$11,"")</f>
        <v/>
      </c>
      <c r="B22" s="24" t="str">
        <f>IF(A22="","",原始字段追溯!$C$11&amp;"!"&amp;原始字段追溯!$D$11)</f>
        <v/>
      </c>
      <c r="C22" s="24" t="str">
        <f>IF(A22="","",原始字段追溯!$H$11)</f>
        <v/>
      </c>
      <c r="D22" s="24" t="str">
        <f t="shared" si="0"/>
        <v/>
      </c>
    </row>
    <row r="23" spans="1:4" x14ac:dyDescent="0.25">
      <c r="A23" s="24" t="str">
        <f>IF(AND(原始字段追溯!$E$12="字段",原始字段追溯!$N$12=""),原始字段追溯!$A$12,"")</f>
        <v/>
      </c>
      <c r="B23" s="24" t="str">
        <f>IF(A23="","",原始字段追溯!$C$12&amp;"!"&amp;原始字段追溯!$D$12)</f>
        <v/>
      </c>
      <c r="C23" s="24" t="str">
        <f>IF(A23="","",原始字段追溯!$H$12)</f>
        <v/>
      </c>
      <c r="D23" s="24" t="str">
        <f t="shared" si="0"/>
        <v/>
      </c>
    </row>
    <row r="24" spans="1:4" x14ac:dyDescent="0.25">
      <c r="A24" s="24" t="str">
        <f>IF(AND(原始字段追溯!$E$13="字段",原始字段追溯!$N$13=""),原始字段追溯!$A$13,"")</f>
        <v/>
      </c>
      <c r="B24" s="24" t="str">
        <f>IF(A24="","",原始字段追溯!$C$13&amp;"!"&amp;原始字段追溯!$D$13)</f>
        <v/>
      </c>
      <c r="C24" s="24" t="str">
        <f>IF(A24="","",原始字段追溯!$H$13)</f>
        <v/>
      </c>
      <c r="D24" s="24" t="str">
        <f t="shared" si="0"/>
        <v/>
      </c>
    </row>
    <row r="25" spans="1:4" x14ac:dyDescent="0.25">
      <c r="A25" s="24" t="str">
        <f>IF(AND(原始字段追溯!$E$14="字段",原始字段追溯!$N$14=""),原始字段追溯!$A$14,"")</f>
        <v/>
      </c>
      <c r="B25" s="24" t="str">
        <f>IF(A25="","",原始字段追溯!$C$14&amp;"!"&amp;原始字段追溯!$D$14)</f>
        <v/>
      </c>
      <c r="C25" s="24" t="str">
        <f>IF(A25="","",原始字段追溯!$H$14)</f>
        <v/>
      </c>
      <c r="D25" s="24" t="str">
        <f t="shared" si="0"/>
        <v/>
      </c>
    </row>
    <row r="26" spans="1:4" x14ac:dyDescent="0.25">
      <c r="A26" s="24" t="str">
        <f>IF(AND(原始字段追溯!$E$15="字段",原始字段追溯!$N$15=""),原始字段追溯!$A$15,"")</f>
        <v/>
      </c>
      <c r="B26" s="24" t="str">
        <f>IF(A26="","",原始字段追溯!$C$15&amp;"!"&amp;原始字段追溯!$D$15)</f>
        <v/>
      </c>
      <c r="C26" s="24" t="str">
        <f>IF(A26="","",原始字段追溯!$H$15)</f>
        <v/>
      </c>
      <c r="D26" s="24" t="str">
        <f t="shared" si="0"/>
        <v/>
      </c>
    </row>
    <row r="27" spans="1:4" x14ac:dyDescent="0.25">
      <c r="A27" s="24" t="str">
        <f>IF(AND(原始字段追溯!$E$16="字段",原始字段追溯!$N$16=""),原始字段追溯!$A$16,"")</f>
        <v/>
      </c>
      <c r="B27" s="24" t="str">
        <f>IF(A27="","",原始字段追溯!$C$16&amp;"!"&amp;原始字段追溯!$D$16)</f>
        <v/>
      </c>
      <c r="C27" s="24" t="str">
        <f>IF(A27="","",原始字段追溯!$H$16)</f>
        <v/>
      </c>
      <c r="D27" s="24" t="str">
        <f t="shared" si="0"/>
        <v/>
      </c>
    </row>
    <row r="28" spans="1:4" x14ac:dyDescent="0.25">
      <c r="A28" s="24" t="str">
        <f>IF(AND(原始字段追溯!$E$17="字段",原始字段追溯!$N$17=""),原始字段追溯!$A$17,"")</f>
        <v/>
      </c>
      <c r="B28" s="24" t="str">
        <f>IF(A28="","",原始字段追溯!$C$17&amp;"!"&amp;原始字段追溯!$D$17)</f>
        <v/>
      </c>
      <c r="C28" s="24" t="str">
        <f>IF(A28="","",原始字段追溯!$H$17)</f>
        <v/>
      </c>
      <c r="D28" s="24" t="str">
        <f t="shared" si="0"/>
        <v/>
      </c>
    </row>
    <row r="29" spans="1:4" x14ac:dyDescent="0.25">
      <c r="A29" s="24" t="str">
        <f>IF(AND(原始字段追溯!$E$18="字段",原始字段追溯!$N$18=""),原始字段追溯!$A$18,"")</f>
        <v/>
      </c>
      <c r="B29" s="24" t="str">
        <f>IF(A29="","",原始字段追溯!$C$18&amp;"!"&amp;原始字段追溯!$D$18)</f>
        <v/>
      </c>
      <c r="C29" s="24" t="str">
        <f>IF(A29="","",原始字段追溯!$H$18)</f>
        <v/>
      </c>
      <c r="D29" s="24" t="str">
        <f t="shared" si="0"/>
        <v/>
      </c>
    </row>
    <row r="30" spans="1:4" x14ac:dyDescent="0.25">
      <c r="A30" s="24" t="str">
        <f>IF(AND(原始字段追溯!$E$19="字段",原始字段追溯!$N$19=""),原始字段追溯!$A$19,"")</f>
        <v/>
      </c>
      <c r="B30" s="24" t="str">
        <f>IF(A30="","",原始字段追溯!$C$19&amp;"!"&amp;原始字段追溯!$D$19)</f>
        <v/>
      </c>
      <c r="C30" s="24" t="str">
        <f>IF(A30="","",原始字段追溯!$H$19)</f>
        <v/>
      </c>
      <c r="D30" s="24" t="str">
        <f t="shared" si="0"/>
        <v/>
      </c>
    </row>
    <row r="31" spans="1:4" x14ac:dyDescent="0.25">
      <c r="A31" s="24" t="str">
        <f>IF(AND(原始字段追溯!$E$20="字段",原始字段追溯!$N$20=""),原始字段追溯!$A$20,"")</f>
        <v/>
      </c>
      <c r="B31" s="24" t="str">
        <f>IF(A31="","",原始字段追溯!$C$20&amp;"!"&amp;原始字段追溯!$D$20)</f>
        <v/>
      </c>
      <c r="C31" s="24" t="str">
        <f>IF(A31="","",原始字段追溯!$H$20)</f>
        <v/>
      </c>
      <c r="D31" s="24" t="str">
        <f t="shared" si="0"/>
        <v/>
      </c>
    </row>
    <row r="32" spans="1:4" x14ac:dyDescent="0.25">
      <c r="A32" s="24" t="str">
        <f>IF(AND(原始字段追溯!$E$21="字段",原始字段追溯!$N$21=""),原始字段追溯!$A$21,"")</f>
        <v/>
      </c>
      <c r="B32" s="24" t="str">
        <f>IF(A32="","",原始字段追溯!$C$21&amp;"!"&amp;原始字段追溯!$D$21)</f>
        <v/>
      </c>
      <c r="C32" s="24" t="str">
        <f>IF(A32="","",原始字段追溯!$H$21)</f>
        <v/>
      </c>
      <c r="D32" s="24" t="str">
        <f t="shared" si="0"/>
        <v/>
      </c>
    </row>
    <row r="33" spans="1:4" x14ac:dyDescent="0.25">
      <c r="A33" s="24" t="str">
        <f>IF(AND(原始字段追溯!$E$22="字段",原始字段追溯!$N$22=""),原始字段追溯!$A$22,"")</f>
        <v/>
      </c>
      <c r="B33" s="24" t="str">
        <f>IF(A33="","",原始字段追溯!$C$22&amp;"!"&amp;原始字段追溯!$D$22)</f>
        <v/>
      </c>
      <c r="C33" s="24" t="str">
        <f>IF(A33="","",原始字段追溯!$H$22)</f>
        <v/>
      </c>
      <c r="D33" s="24" t="str">
        <f t="shared" si="0"/>
        <v/>
      </c>
    </row>
    <row r="34" spans="1:4" x14ac:dyDescent="0.25">
      <c r="A34" s="24" t="str">
        <f>IF(AND(原始字段追溯!$E$23="字段",原始字段追溯!$N$23=""),原始字段追溯!$A$23,"")</f>
        <v/>
      </c>
      <c r="B34" s="24" t="str">
        <f>IF(A34="","",原始字段追溯!$C$23&amp;"!"&amp;原始字段追溯!$D$23)</f>
        <v/>
      </c>
      <c r="C34" s="24" t="str">
        <f>IF(A34="","",原始字段追溯!$H$23)</f>
        <v/>
      </c>
      <c r="D34" s="24" t="str">
        <f t="shared" si="0"/>
        <v/>
      </c>
    </row>
    <row r="35" spans="1:4" x14ac:dyDescent="0.25">
      <c r="A35" s="24" t="str">
        <f>IF(AND(原始字段追溯!$E$24="字段",原始字段追溯!$N$24=""),原始字段追溯!$A$24,"")</f>
        <v/>
      </c>
      <c r="B35" s="24" t="str">
        <f>IF(A35="","",原始字段追溯!$C$24&amp;"!"&amp;原始字段追溯!$D$24)</f>
        <v/>
      </c>
      <c r="C35" s="24" t="str">
        <f>IF(A35="","",原始字段追溯!$H$24)</f>
        <v/>
      </c>
      <c r="D35" s="24" t="str">
        <f t="shared" si="0"/>
        <v/>
      </c>
    </row>
    <row r="36" spans="1:4" x14ac:dyDescent="0.25">
      <c r="A36" s="24" t="str">
        <f>IF(AND(原始字段追溯!$E$25="字段",原始字段追溯!$N$25=""),原始字段追溯!$A$25,"")</f>
        <v/>
      </c>
      <c r="B36" s="24" t="str">
        <f>IF(A36="","",原始字段追溯!$C$25&amp;"!"&amp;原始字段追溯!$D$25)</f>
        <v/>
      </c>
      <c r="C36" s="24" t="str">
        <f>IF(A36="","",原始字段追溯!$H$25)</f>
        <v/>
      </c>
      <c r="D36" s="24" t="str">
        <f t="shared" si="0"/>
        <v/>
      </c>
    </row>
    <row r="37" spans="1:4" x14ac:dyDescent="0.25">
      <c r="A37" s="24" t="str">
        <f>IF(AND(原始字段追溯!$E$26="字段",原始字段追溯!$N$26=""),原始字段追溯!$A$26,"")</f>
        <v/>
      </c>
      <c r="B37" s="24" t="str">
        <f>IF(A37="","",原始字段追溯!$C$26&amp;"!"&amp;原始字段追溯!$D$26)</f>
        <v/>
      </c>
      <c r="C37" s="24" t="str">
        <f>IF(A37="","",原始字段追溯!$H$26)</f>
        <v/>
      </c>
      <c r="D37" s="24" t="str">
        <f t="shared" si="0"/>
        <v/>
      </c>
    </row>
    <row r="38" spans="1:4" x14ac:dyDescent="0.25">
      <c r="A38" s="24" t="str">
        <f>IF(AND(原始字段追溯!$E$27="字段",原始字段追溯!$N$27=""),原始字段追溯!$A$27,"")</f>
        <v/>
      </c>
      <c r="B38" s="24" t="str">
        <f>IF(A38="","",原始字段追溯!$C$27&amp;"!"&amp;原始字段追溯!$D$27)</f>
        <v/>
      </c>
      <c r="C38" s="24" t="str">
        <f>IF(A38="","",原始字段追溯!$H$27)</f>
        <v/>
      </c>
      <c r="D38" s="24" t="str">
        <f t="shared" si="0"/>
        <v/>
      </c>
    </row>
    <row r="39" spans="1:4" x14ac:dyDescent="0.25">
      <c r="A39" s="24" t="str">
        <f>IF(AND(原始字段追溯!$E$28="字段",原始字段追溯!$N$28=""),原始字段追溯!$A$28,"")</f>
        <v/>
      </c>
      <c r="B39" s="24" t="str">
        <f>IF(A39="","",原始字段追溯!$C$28&amp;"!"&amp;原始字段追溯!$D$28)</f>
        <v/>
      </c>
      <c r="C39" s="24" t="str">
        <f>IF(A39="","",原始字段追溯!$H$28)</f>
        <v/>
      </c>
      <c r="D39" s="24" t="str">
        <f t="shared" si="0"/>
        <v/>
      </c>
    </row>
    <row r="40" spans="1:4" x14ac:dyDescent="0.25">
      <c r="A40" s="24" t="str">
        <f>IF(AND(原始字段追溯!$E$29="字段",原始字段追溯!$N$29=""),原始字段追溯!$A$29,"")</f>
        <v/>
      </c>
      <c r="B40" s="24" t="str">
        <f>IF(A40="","",原始字段追溯!$C$29&amp;"!"&amp;原始字段追溯!$D$29)</f>
        <v/>
      </c>
      <c r="C40" s="24" t="str">
        <f>IF(A40="","",原始字段追溯!$H$29)</f>
        <v/>
      </c>
      <c r="D40" s="24" t="str">
        <f t="shared" si="0"/>
        <v/>
      </c>
    </row>
    <row r="41" spans="1:4" x14ac:dyDescent="0.25">
      <c r="A41" s="24" t="str">
        <f>IF(AND(原始字段追溯!$E$30="字段",原始字段追溯!$N$30=""),原始字段追溯!$A$30,"")</f>
        <v/>
      </c>
      <c r="B41" s="24" t="str">
        <f>IF(A41="","",原始字段追溯!$C$30&amp;"!"&amp;原始字段追溯!$D$30)</f>
        <v/>
      </c>
      <c r="C41" s="24" t="str">
        <f>IF(A41="","",原始字段追溯!$H$30)</f>
        <v/>
      </c>
      <c r="D41" s="24" t="str">
        <f t="shared" si="0"/>
        <v/>
      </c>
    </row>
    <row r="42" spans="1:4" x14ac:dyDescent="0.25">
      <c r="A42" s="24" t="str">
        <f>IF(AND(原始字段追溯!$E$31="字段",原始字段追溯!$N$31=""),原始字段追溯!$A$31,"")</f>
        <v/>
      </c>
      <c r="B42" s="24" t="str">
        <f>IF(A42="","",原始字段追溯!$C$31&amp;"!"&amp;原始字段追溯!$D$31)</f>
        <v/>
      </c>
      <c r="C42" s="24" t="str">
        <f>IF(A42="","",原始字段追溯!$H$31)</f>
        <v/>
      </c>
      <c r="D42" s="24" t="str">
        <f t="shared" si="0"/>
        <v/>
      </c>
    </row>
    <row r="43" spans="1:4" x14ac:dyDescent="0.25">
      <c r="A43" s="24" t="str">
        <f>IF(AND(原始字段追溯!$E$32="字段",原始字段追溯!$N$32=""),原始字段追溯!$A$32,"")</f>
        <v/>
      </c>
      <c r="B43" s="24" t="str">
        <f>IF(A43="","",原始字段追溯!$C$32&amp;"!"&amp;原始字段追溯!$D$32)</f>
        <v/>
      </c>
      <c r="C43" s="24" t="str">
        <f>IF(A43="","",原始字段追溯!$H$32)</f>
        <v/>
      </c>
      <c r="D43" s="24" t="str">
        <f t="shared" si="0"/>
        <v/>
      </c>
    </row>
    <row r="44" spans="1:4" x14ac:dyDescent="0.25">
      <c r="A44" s="24" t="str">
        <f>IF(AND(原始字段追溯!$E$33="字段",原始字段追溯!$N$33=""),原始字段追溯!$A$33,"")</f>
        <v/>
      </c>
      <c r="B44" s="24" t="str">
        <f>IF(A44="","",原始字段追溯!$C$33&amp;"!"&amp;原始字段追溯!$D$33)</f>
        <v/>
      </c>
      <c r="C44" s="24" t="str">
        <f>IF(A44="","",原始字段追溯!$H$33)</f>
        <v/>
      </c>
      <c r="D44" s="24" t="str">
        <f t="shared" si="0"/>
        <v/>
      </c>
    </row>
    <row r="45" spans="1:4" x14ac:dyDescent="0.25">
      <c r="A45" s="24" t="str">
        <f>IF(AND(原始字段追溯!$E$34="字段",原始字段追溯!$N$34=""),原始字段追溯!$A$34,"")</f>
        <v/>
      </c>
      <c r="B45" s="24" t="str">
        <f>IF(A45="","",原始字段追溯!$C$34&amp;"!"&amp;原始字段追溯!$D$34)</f>
        <v/>
      </c>
      <c r="C45" s="24" t="str">
        <f>IF(A45="","",原始字段追溯!$H$34)</f>
        <v/>
      </c>
      <c r="D45" s="24" t="str">
        <f t="shared" si="0"/>
        <v/>
      </c>
    </row>
    <row r="46" spans="1:4" x14ac:dyDescent="0.25">
      <c r="A46" s="24" t="str">
        <f>IF(AND(原始字段追溯!$E$35="字段",原始字段追溯!$N$35=""),原始字段追溯!$A$35,"")</f>
        <v/>
      </c>
      <c r="B46" s="24" t="str">
        <f>IF(A46="","",原始字段追溯!$C$35&amp;"!"&amp;原始字段追溯!$D$35)</f>
        <v/>
      </c>
      <c r="C46" s="24" t="str">
        <f>IF(A46="","",原始字段追溯!$H$35)</f>
        <v/>
      </c>
      <c r="D46" s="24" t="str">
        <f t="shared" si="0"/>
        <v/>
      </c>
    </row>
    <row r="47" spans="1:4" x14ac:dyDescent="0.25">
      <c r="A47" s="24" t="str">
        <f>IF(AND(原始字段追溯!$E$36="字段",原始字段追溯!$N$36=""),原始字段追溯!$A$36,"")</f>
        <v/>
      </c>
      <c r="B47" s="24" t="str">
        <f>IF(A47="","",原始字段追溯!$C$36&amp;"!"&amp;原始字段追溯!$D$36)</f>
        <v/>
      </c>
      <c r="C47" s="24" t="str">
        <f>IF(A47="","",原始字段追溯!$H$36)</f>
        <v/>
      </c>
      <c r="D47" s="24" t="str">
        <f t="shared" si="0"/>
        <v/>
      </c>
    </row>
    <row r="48" spans="1:4" x14ac:dyDescent="0.25">
      <c r="A48" s="24" t="str">
        <f>IF(AND(原始字段追溯!$E$37="字段",原始字段追溯!$N$37=""),原始字段追溯!$A$37,"")</f>
        <v/>
      </c>
      <c r="B48" s="24" t="str">
        <f>IF(A48="","",原始字段追溯!$C$37&amp;"!"&amp;原始字段追溯!$D$37)</f>
        <v/>
      </c>
      <c r="C48" s="24" t="str">
        <f>IF(A48="","",原始字段追溯!$H$37)</f>
        <v/>
      </c>
      <c r="D48" s="24" t="str">
        <f t="shared" si="0"/>
        <v/>
      </c>
    </row>
    <row r="49" spans="1:4" x14ac:dyDescent="0.25">
      <c r="A49" s="24" t="str">
        <f>IF(AND(原始字段追溯!$E$38="字段",原始字段追溯!$N$38=""),原始字段追溯!$A$38,"")</f>
        <v/>
      </c>
      <c r="B49" s="24" t="str">
        <f>IF(A49="","",原始字段追溯!$C$38&amp;"!"&amp;原始字段追溯!$D$38)</f>
        <v/>
      </c>
      <c r="C49" s="24" t="str">
        <f>IF(A49="","",原始字段追溯!$H$38)</f>
        <v/>
      </c>
      <c r="D49" s="24" t="str">
        <f t="shared" si="0"/>
        <v/>
      </c>
    </row>
    <row r="50" spans="1:4" x14ac:dyDescent="0.25">
      <c r="A50" s="24" t="str">
        <f>IF(AND(原始字段追溯!$E$39="字段",原始字段追溯!$N$39=""),原始字段追溯!$A$39,"")</f>
        <v/>
      </c>
      <c r="B50" s="24" t="str">
        <f>IF(A50="","",原始字段追溯!$C$39&amp;"!"&amp;原始字段追溯!$D$39)</f>
        <v/>
      </c>
      <c r="C50" s="24" t="str">
        <f>IF(A50="","",原始字段追溯!$H$39)</f>
        <v/>
      </c>
      <c r="D50" s="24" t="str">
        <f t="shared" si="0"/>
        <v/>
      </c>
    </row>
    <row r="51" spans="1:4" x14ac:dyDescent="0.25">
      <c r="A51" s="24" t="str">
        <f>IF(AND(原始字段追溯!$E$40="字段",原始字段追溯!$N$40=""),原始字段追溯!$A$40,"")</f>
        <v/>
      </c>
      <c r="B51" s="24" t="str">
        <f>IF(A51="","",原始字段追溯!$C$40&amp;"!"&amp;原始字段追溯!$D$40)</f>
        <v/>
      </c>
      <c r="C51" s="24" t="str">
        <f>IF(A51="","",原始字段追溯!$H$40)</f>
        <v/>
      </c>
      <c r="D51" s="24" t="str">
        <f t="shared" si="0"/>
        <v/>
      </c>
    </row>
    <row r="52" spans="1:4" x14ac:dyDescent="0.25">
      <c r="A52" s="24" t="str">
        <f>IF(AND(原始字段追溯!$E$41="字段",原始字段追溯!$N$41=""),原始字段追溯!$A$41,"")</f>
        <v/>
      </c>
      <c r="B52" s="24" t="str">
        <f>IF(A52="","",原始字段追溯!$C$41&amp;"!"&amp;原始字段追溯!$D$41)</f>
        <v/>
      </c>
      <c r="C52" s="24" t="str">
        <f>IF(A52="","",原始字段追溯!$H$41)</f>
        <v/>
      </c>
      <c r="D52" s="24" t="str">
        <f t="shared" si="0"/>
        <v/>
      </c>
    </row>
    <row r="53" spans="1:4" x14ac:dyDescent="0.25">
      <c r="A53" s="24" t="str">
        <f>IF(AND(原始字段追溯!$E$42="字段",原始字段追溯!$N$42=""),原始字段追溯!$A$42,"")</f>
        <v/>
      </c>
      <c r="B53" s="24" t="str">
        <f>IF(A53="","",原始字段追溯!$C$42&amp;"!"&amp;原始字段追溯!$D$42)</f>
        <v/>
      </c>
      <c r="C53" s="24" t="str">
        <f>IF(A53="","",原始字段追溯!$H$42)</f>
        <v/>
      </c>
      <c r="D53" s="24" t="str">
        <f t="shared" si="0"/>
        <v/>
      </c>
    </row>
    <row r="54" spans="1:4" x14ac:dyDescent="0.25">
      <c r="A54" s="24" t="str">
        <f>IF(AND(原始字段追溯!$E$43="字段",原始字段追溯!$N$43=""),原始字段追溯!$A$43,"")</f>
        <v/>
      </c>
      <c r="B54" s="24" t="str">
        <f>IF(A54="","",原始字段追溯!$C$43&amp;"!"&amp;原始字段追溯!$D$43)</f>
        <v/>
      </c>
      <c r="C54" s="24" t="str">
        <f>IF(A54="","",原始字段追溯!$H$43)</f>
        <v/>
      </c>
      <c r="D54" s="24" t="str">
        <f t="shared" si="0"/>
        <v/>
      </c>
    </row>
    <row r="55" spans="1:4" x14ac:dyDescent="0.25">
      <c r="A55" s="24" t="str">
        <f>IF(AND(原始字段追溯!$E$44="字段",原始字段追溯!$N$44=""),原始字段追溯!$A$44,"")</f>
        <v/>
      </c>
      <c r="B55" s="24" t="str">
        <f>IF(A55="","",原始字段追溯!$C$44&amp;"!"&amp;原始字段追溯!$D$44)</f>
        <v/>
      </c>
      <c r="C55" s="24" t="str">
        <f>IF(A55="","",原始字段追溯!$H$44)</f>
        <v/>
      </c>
      <c r="D55" s="24" t="str">
        <f t="shared" si="0"/>
        <v/>
      </c>
    </row>
    <row r="56" spans="1:4" x14ac:dyDescent="0.25">
      <c r="A56" s="24" t="str">
        <f>IF(AND(原始字段追溯!$E$45="字段",原始字段追溯!$N$45=""),原始字段追溯!$A$45,"")</f>
        <v/>
      </c>
      <c r="B56" s="24" t="str">
        <f>IF(A56="","",原始字段追溯!$C$45&amp;"!"&amp;原始字段追溯!$D$45)</f>
        <v/>
      </c>
      <c r="C56" s="24" t="str">
        <f>IF(A56="","",原始字段追溯!$H$45)</f>
        <v/>
      </c>
      <c r="D56" s="24" t="str">
        <f t="shared" si="0"/>
        <v/>
      </c>
    </row>
    <row r="57" spans="1:4" x14ac:dyDescent="0.25">
      <c r="A57" s="24" t="str">
        <f>IF(AND(原始字段追溯!$E$46="字段",原始字段追溯!$N$46=""),原始字段追溯!$A$46,"")</f>
        <v/>
      </c>
      <c r="B57" s="24" t="str">
        <f>IF(A57="","",原始字段追溯!$C$46&amp;"!"&amp;原始字段追溯!$D$46)</f>
        <v/>
      </c>
      <c r="C57" s="24" t="str">
        <f>IF(A57="","",原始字段追溯!$H$46)</f>
        <v/>
      </c>
      <c r="D57" s="24" t="str">
        <f t="shared" si="0"/>
        <v/>
      </c>
    </row>
    <row r="58" spans="1:4" x14ac:dyDescent="0.25">
      <c r="A58" s="24" t="str">
        <f>IF(AND(原始字段追溯!$E$47="字段",原始字段追溯!$N$47=""),原始字段追溯!$A$47,"")</f>
        <v/>
      </c>
      <c r="B58" s="24" t="str">
        <f>IF(A58="","",原始字段追溯!$C$47&amp;"!"&amp;原始字段追溯!$D$47)</f>
        <v/>
      </c>
      <c r="C58" s="24" t="str">
        <f>IF(A58="","",原始字段追溯!$H$47)</f>
        <v/>
      </c>
      <c r="D58" s="24" t="str">
        <f t="shared" si="0"/>
        <v/>
      </c>
    </row>
    <row r="59" spans="1:4" x14ac:dyDescent="0.25">
      <c r="A59" s="24" t="str">
        <f>IF(AND(原始字段追溯!$E$48="字段",原始字段追溯!$N$48=""),原始字段追溯!$A$48,"")</f>
        <v/>
      </c>
      <c r="B59" s="24" t="str">
        <f>IF(A59="","",原始字段追溯!$C$48&amp;"!"&amp;原始字段追溯!$D$48)</f>
        <v/>
      </c>
      <c r="C59" s="24" t="str">
        <f>IF(A59="","",原始字段追溯!$H$48)</f>
        <v/>
      </c>
      <c r="D59" s="24" t="str">
        <f t="shared" si="0"/>
        <v/>
      </c>
    </row>
    <row r="60" spans="1:4" x14ac:dyDescent="0.25">
      <c r="A60" s="24" t="str">
        <f>IF(AND(原始字段追溯!$E$49="字段",原始字段追溯!$N$49=""),原始字段追溯!$A$49,"")</f>
        <v/>
      </c>
      <c r="B60" s="24" t="str">
        <f>IF(A60="","",原始字段追溯!$C$49&amp;"!"&amp;原始字段追溯!$D$49)</f>
        <v/>
      </c>
      <c r="C60" s="24" t="str">
        <f>IF(A60="","",原始字段追溯!$H$49)</f>
        <v/>
      </c>
      <c r="D60" s="24" t="str">
        <f t="shared" si="0"/>
        <v/>
      </c>
    </row>
    <row r="61" spans="1:4" x14ac:dyDescent="0.25">
      <c r="A61" s="24" t="str">
        <f>IF(AND(原始字段追溯!$E$50="字段",原始字段追溯!$N$50=""),原始字段追溯!$A$50,"")</f>
        <v/>
      </c>
      <c r="B61" s="24" t="str">
        <f>IF(A61="","",原始字段追溯!$C$50&amp;"!"&amp;原始字段追溯!$D$50)</f>
        <v/>
      </c>
      <c r="C61" s="24" t="str">
        <f>IF(A61="","",原始字段追溯!$H$50)</f>
        <v/>
      </c>
      <c r="D61" s="24" t="str">
        <f t="shared" si="0"/>
        <v/>
      </c>
    </row>
    <row r="62" spans="1:4" x14ac:dyDescent="0.25">
      <c r="A62" s="24" t="str">
        <f>IF(AND(原始字段追溯!$E$51="字段",原始字段追溯!$N$51=""),原始字段追溯!$A$51,"")</f>
        <v/>
      </c>
      <c r="B62" s="24" t="str">
        <f>IF(A62="","",原始字段追溯!$C$51&amp;"!"&amp;原始字段追溯!$D$51)</f>
        <v/>
      </c>
      <c r="C62" s="24" t="str">
        <f>IF(A62="","",原始字段追溯!$H$51)</f>
        <v/>
      </c>
      <c r="D62" s="24" t="str">
        <f t="shared" si="0"/>
        <v/>
      </c>
    </row>
    <row r="63" spans="1:4" x14ac:dyDescent="0.25">
      <c r="A63" s="24" t="str">
        <f>IF(AND(原始字段追溯!$E$52="字段",原始字段追溯!$N$52=""),原始字段追溯!$A$52,"")</f>
        <v/>
      </c>
      <c r="B63" s="24" t="str">
        <f>IF(A63="","",原始字段追溯!$C$52&amp;"!"&amp;原始字段追溯!$D$52)</f>
        <v/>
      </c>
      <c r="C63" s="24" t="str">
        <f>IF(A63="","",原始字段追溯!$H$52)</f>
        <v/>
      </c>
      <c r="D63" s="24" t="str">
        <f t="shared" si="0"/>
        <v/>
      </c>
    </row>
    <row r="64" spans="1:4" x14ac:dyDescent="0.25">
      <c r="A64" s="24" t="str">
        <f>IF(AND(原始字段追溯!$E$53="字段",原始字段追溯!$N$53=""),原始字段追溯!$A$53,"")</f>
        <v/>
      </c>
      <c r="B64" s="24" t="str">
        <f>IF(A64="","",原始字段追溯!$C$53&amp;"!"&amp;原始字段追溯!$D$53)</f>
        <v/>
      </c>
      <c r="C64" s="24" t="str">
        <f>IF(A64="","",原始字段追溯!$H$53)</f>
        <v/>
      </c>
      <c r="D64" s="24" t="str">
        <f t="shared" si="0"/>
        <v/>
      </c>
    </row>
    <row r="65" spans="1:4" x14ac:dyDescent="0.25">
      <c r="A65" s="24" t="str">
        <f>IF(AND(原始字段追溯!$E$54="字段",原始字段追溯!$N$54=""),原始字段追溯!$A$54,"")</f>
        <v/>
      </c>
      <c r="B65" s="24" t="str">
        <f>IF(A65="","",原始字段追溯!$C$54&amp;"!"&amp;原始字段追溯!$D$54)</f>
        <v/>
      </c>
      <c r="C65" s="24" t="str">
        <f>IF(A65="","",原始字段追溯!$H$54)</f>
        <v/>
      </c>
      <c r="D65" s="24" t="str">
        <f t="shared" si="0"/>
        <v/>
      </c>
    </row>
    <row r="66" spans="1:4" x14ac:dyDescent="0.25">
      <c r="A66" s="24" t="str">
        <f>IF(AND(原始字段追溯!$E$55="字段",原始字段追溯!$N$55=""),原始字段追溯!$A$55,"")</f>
        <v/>
      </c>
      <c r="B66" s="24" t="str">
        <f>IF(A66="","",原始字段追溯!$C$55&amp;"!"&amp;原始字段追溯!$D$55)</f>
        <v/>
      </c>
      <c r="C66" s="24" t="str">
        <f>IF(A66="","",原始字段追溯!$H$55)</f>
        <v/>
      </c>
      <c r="D66" s="24" t="str">
        <f t="shared" si="0"/>
        <v/>
      </c>
    </row>
    <row r="67" spans="1:4" x14ac:dyDescent="0.25">
      <c r="A67" s="24" t="str">
        <f>IF(AND(原始字段追溯!$E$56="字段",原始字段追溯!$N$56=""),原始字段追溯!$A$56,"")</f>
        <v/>
      </c>
      <c r="B67" s="24" t="str">
        <f>IF(A67="","",原始字段追溯!$C$56&amp;"!"&amp;原始字段追溯!$D$56)</f>
        <v/>
      </c>
      <c r="C67" s="24" t="str">
        <f>IF(A67="","",原始字段追溯!$H$56)</f>
        <v/>
      </c>
      <c r="D67" s="24" t="str">
        <f t="shared" si="0"/>
        <v/>
      </c>
    </row>
    <row r="68" spans="1:4" x14ac:dyDescent="0.25">
      <c r="A68" s="24" t="str">
        <f>IF(AND(原始字段追溯!$E$57="字段",原始字段追溯!$N$57=""),原始字段追溯!$A$57,"")</f>
        <v/>
      </c>
      <c r="B68" s="24" t="str">
        <f>IF(A68="","",原始字段追溯!$C$57&amp;"!"&amp;原始字段追溯!$D$57)</f>
        <v/>
      </c>
      <c r="C68" s="24" t="str">
        <f>IF(A68="","",原始字段追溯!$H$57)</f>
        <v/>
      </c>
      <c r="D68" s="24" t="str">
        <f t="shared" si="0"/>
        <v/>
      </c>
    </row>
    <row r="69" spans="1:4" x14ac:dyDescent="0.25">
      <c r="A69" s="24" t="str">
        <f>IF(AND(原始字段追溯!$E$58="字段",原始字段追溯!$N$58=""),原始字段追溯!$A$58,"")</f>
        <v/>
      </c>
      <c r="B69" s="24" t="str">
        <f>IF(A69="","",原始字段追溯!$C$58&amp;"!"&amp;原始字段追溯!$D$58)</f>
        <v/>
      </c>
      <c r="C69" s="24" t="str">
        <f>IF(A69="","",原始字段追溯!$H$58)</f>
        <v/>
      </c>
      <c r="D69" s="24" t="str">
        <f t="shared" si="0"/>
        <v/>
      </c>
    </row>
    <row r="70" spans="1:4" x14ac:dyDescent="0.25">
      <c r="A70" s="24" t="str">
        <f>IF(AND(原始字段追溯!$E$59="字段",原始字段追溯!$N$59=""),原始字段追溯!$A$59,"")</f>
        <v/>
      </c>
      <c r="B70" s="24" t="str">
        <f>IF(A70="","",原始字段追溯!$C$59&amp;"!"&amp;原始字段追溯!$D$59)</f>
        <v/>
      </c>
      <c r="C70" s="24" t="str">
        <f>IF(A70="","",原始字段追溯!$H$59)</f>
        <v/>
      </c>
      <c r="D70" s="24" t="str">
        <f t="shared" si="0"/>
        <v/>
      </c>
    </row>
    <row r="71" spans="1:4" x14ac:dyDescent="0.25">
      <c r="A71" s="24" t="str">
        <f>IF(AND(原始字段追溯!$E$60="字段",原始字段追溯!$N$60=""),原始字段追溯!$A$60,"")</f>
        <v/>
      </c>
      <c r="B71" s="24" t="str">
        <f>IF(A71="","",原始字段追溯!$C$60&amp;"!"&amp;原始字段追溯!$D$60)</f>
        <v/>
      </c>
      <c r="C71" s="24" t="str">
        <f>IF(A71="","",原始字段追溯!$H$60)</f>
        <v/>
      </c>
      <c r="D71" s="24" t="str">
        <f t="shared" si="0"/>
        <v/>
      </c>
    </row>
    <row r="72" spans="1:4" x14ac:dyDescent="0.25">
      <c r="A72" s="24" t="str">
        <f>IF(AND(原始字段追溯!$E$61="字段",原始字段追溯!$N$61=""),原始字段追溯!$A$61,"")</f>
        <v/>
      </c>
      <c r="B72" s="24" t="str">
        <f>IF(A72="","",原始字段追溯!$C$61&amp;"!"&amp;原始字段追溯!$D$61)</f>
        <v/>
      </c>
      <c r="C72" s="24" t="str">
        <f>IF(A72="","",原始字段追溯!$H$61)</f>
        <v/>
      </c>
      <c r="D72" s="24" t="str">
        <f t="shared" si="0"/>
        <v/>
      </c>
    </row>
    <row r="73" spans="1:4" x14ac:dyDescent="0.25">
      <c r="A73" s="24" t="str">
        <f>IF(AND(原始字段追溯!$E$62="字段",原始字段追溯!$N$62=""),原始字段追溯!$A$62,"")</f>
        <v/>
      </c>
      <c r="B73" s="24" t="str">
        <f>IF(A73="","",原始字段追溯!$C$62&amp;"!"&amp;原始字段追溯!$D$62)</f>
        <v/>
      </c>
      <c r="C73" s="24" t="str">
        <f>IF(A73="","",原始字段追溯!$H$62)</f>
        <v/>
      </c>
      <c r="D73" s="24" t="str">
        <f t="shared" si="0"/>
        <v/>
      </c>
    </row>
    <row r="74" spans="1:4" x14ac:dyDescent="0.25">
      <c r="A74" s="24" t="str">
        <f>IF(AND(原始字段追溯!$E$63="字段",原始字段追溯!$N$63=""),原始字段追溯!$A$63,"")</f>
        <v/>
      </c>
      <c r="B74" s="24" t="str">
        <f>IF(A74="","",原始字段追溯!$C$63&amp;"!"&amp;原始字段追溯!$D$63)</f>
        <v/>
      </c>
      <c r="C74" s="24" t="str">
        <f>IF(A74="","",原始字段追溯!$H$63)</f>
        <v/>
      </c>
      <c r="D74" s="24" t="str">
        <f t="shared" si="0"/>
        <v/>
      </c>
    </row>
    <row r="75" spans="1:4" x14ac:dyDescent="0.25">
      <c r="A75" s="24" t="str">
        <f>IF(AND(原始字段追溯!$E$64="字段",原始字段追溯!$N$64=""),原始字段追溯!$A$64,"")</f>
        <v/>
      </c>
      <c r="B75" s="24" t="str">
        <f>IF(A75="","",原始字段追溯!$C$64&amp;"!"&amp;原始字段追溯!$D$64)</f>
        <v/>
      </c>
      <c r="C75" s="24" t="str">
        <f>IF(A75="","",原始字段追溯!$H$64)</f>
        <v/>
      </c>
      <c r="D75" s="24" t="str">
        <f t="shared" si="0"/>
        <v/>
      </c>
    </row>
    <row r="76" spans="1:4" x14ac:dyDescent="0.25">
      <c r="A76" s="24" t="str">
        <f>IF(AND(原始字段追溯!$E$65="字段",原始字段追溯!$N$65=""),原始字段追溯!$A$65,"")</f>
        <v/>
      </c>
      <c r="B76" s="24" t="str">
        <f>IF(A76="","",原始字段追溯!$C$65&amp;"!"&amp;原始字段追溯!$D$65)</f>
        <v/>
      </c>
      <c r="C76" s="24" t="str">
        <f>IF(A76="","",原始字段追溯!$H$65)</f>
        <v/>
      </c>
      <c r="D76" s="24" t="str">
        <f t="shared" si="0"/>
        <v/>
      </c>
    </row>
    <row r="77" spans="1:4" x14ac:dyDescent="0.25">
      <c r="A77" s="24" t="str">
        <f>IF(AND(原始字段追溯!$E$66="字段",原始字段追溯!$N$66=""),原始字段追溯!$A$66,"")</f>
        <v/>
      </c>
      <c r="B77" s="24" t="str">
        <f>IF(A77="","",原始字段追溯!$C$66&amp;"!"&amp;原始字段追溯!$D$66)</f>
        <v/>
      </c>
      <c r="C77" s="24" t="str">
        <f>IF(A77="","",原始字段追溯!$H$66)</f>
        <v/>
      </c>
      <c r="D77" s="24" t="str">
        <f t="shared" si="0"/>
        <v/>
      </c>
    </row>
    <row r="78" spans="1:4" x14ac:dyDescent="0.25">
      <c r="A78" s="24" t="str">
        <f>IF(AND(原始字段追溯!$E$67="字段",原始字段追溯!$N$67=""),原始字段追溯!$A$67,"")</f>
        <v/>
      </c>
      <c r="B78" s="24" t="str">
        <f>IF(A78="","",原始字段追溯!$C$67&amp;"!"&amp;原始字段追溯!$D$67)</f>
        <v/>
      </c>
      <c r="C78" s="24" t="str">
        <f>IF(A78="","",原始字段追溯!$H$67)</f>
        <v/>
      </c>
      <c r="D78" s="24" t="str">
        <f t="shared" si="0"/>
        <v/>
      </c>
    </row>
    <row r="79" spans="1:4" x14ac:dyDescent="0.25">
      <c r="A79" s="24" t="str">
        <f>IF(AND(原始字段追溯!$E$68="字段",原始字段追溯!$N$68=""),原始字段追溯!$A$68,"")</f>
        <v/>
      </c>
      <c r="B79" s="24" t="str">
        <f>IF(A79="","",原始字段追溯!$C$68&amp;"!"&amp;原始字段追溯!$D$68)</f>
        <v/>
      </c>
      <c r="C79" s="24" t="str">
        <f>IF(A79="","",原始字段追溯!$H$68)</f>
        <v/>
      </c>
      <c r="D79" s="24" t="str">
        <f t="shared" si="0"/>
        <v/>
      </c>
    </row>
    <row r="80" spans="1:4" x14ac:dyDescent="0.25">
      <c r="A80" s="24" t="str">
        <f>IF(AND(原始字段追溯!$E$69="字段",原始字段追溯!$N$69=""),原始字段追溯!$A$69,"")</f>
        <v/>
      </c>
      <c r="B80" s="24" t="str">
        <f>IF(A80="","",原始字段追溯!$C$69&amp;"!"&amp;原始字段追溯!$D$69)</f>
        <v/>
      </c>
      <c r="C80" s="24" t="str">
        <f>IF(A80="","",原始字段追溯!$H$69)</f>
        <v/>
      </c>
      <c r="D80" s="24" t="str">
        <f t="shared" ref="D80:D143" si="1">IF(A80="","","正式源字段未映射")</f>
        <v/>
      </c>
    </row>
    <row r="81" spans="1:4" x14ac:dyDescent="0.25">
      <c r="A81" s="24" t="str">
        <f>IF(AND(原始字段追溯!$E$70="字段",原始字段追溯!$N$70=""),原始字段追溯!$A$70,"")</f>
        <v/>
      </c>
      <c r="B81" s="24" t="str">
        <f>IF(A81="","",原始字段追溯!$C$70&amp;"!"&amp;原始字段追溯!$D$70)</f>
        <v/>
      </c>
      <c r="C81" s="24" t="str">
        <f>IF(A81="","",原始字段追溯!$H$70)</f>
        <v/>
      </c>
      <c r="D81" s="24" t="str">
        <f t="shared" si="1"/>
        <v/>
      </c>
    </row>
    <row r="82" spans="1:4" x14ac:dyDescent="0.25">
      <c r="A82" s="24" t="str">
        <f>IF(AND(原始字段追溯!$E$71="字段",原始字段追溯!$N$71=""),原始字段追溯!$A$71,"")</f>
        <v/>
      </c>
      <c r="B82" s="24" t="str">
        <f>IF(A82="","",原始字段追溯!$C$71&amp;"!"&amp;原始字段追溯!$D$71)</f>
        <v/>
      </c>
      <c r="C82" s="24" t="str">
        <f>IF(A82="","",原始字段追溯!$H$71)</f>
        <v/>
      </c>
      <c r="D82" s="24" t="str">
        <f t="shared" si="1"/>
        <v/>
      </c>
    </row>
    <row r="83" spans="1:4" x14ac:dyDescent="0.25">
      <c r="A83" s="24" t="str">
        <f>IF(AND(原始字段追溯!$E$72="字段",原始字段追溯!$N$72=""),原始字段追溯!$A$72,"")</f>
        <v/>
      </c>
      <c r="B83" s="24" t="str">
        <f>IF(A83="","",原始字段追溯!$C$72&amp;"!"&amp;原始字段追溯!$D$72)</f>
        <v/>
      </c>
      <c r="C83" s="24" t="str">
        <f>IF(A83="","",原始字段追溯!$H$72)</f>
        <v/>
      </c>
      <c r="D83" s="24" t="str">
        <f t="shared" si="1"/>
        <v/>
      </c>
    </row>
    <row r="84" spans="1:4" x14ac:dyDescent="0.25">
      <c r="A84" s="24" t="str">
        <f>IF(AND(原始字段追溯!$E$73="字段",原始字段追溯!$N$73=""),原始字段追溯!$A$73,"")</f>
        <v/>
      </c>
      <c r="B84" s="24" t="str">
        <f>IF(A84="","",原始字段追溯!$C$73&amp;"!"&amp;原始字段追溯!$D$73)</f>
        <v/>
      </c>
      <c r="C84" s="24" t="str">
        <f>IF(A84="","",原始字段追溯!$H$73)</f>
        <v/>
      </c>
      <c r="D84" s="24" t="str">
        <f t="shared" si="1"/>
        <v/>
      </c>
    </row>
    <row r="85" spans="1:4" x14ac:dyDescent="0.25">
      <c r="A85" s="24" t="str">
        <f>IF(AND(原始字段追溯!$E$74="字段",原始字段追溯!$N$74=""),原始字段追溯!$A$74,"")</f>
        <v/>
      </c>
      <c r="B85" s="24" t="str">
        <f>IF(A85="","",原始字段追溯!$C$74&amp;"!"&amp;原始字段追溯!$D$74)</f>
        <v/>
      </c>
      <c r="C85" s="24" t="str">
        <f>IF(A85="","",原始字段追溯!$H$74)</f>
        <v/>
      </c>
      <c r="D85" s="24" t="str">
        <f t="shared" si="1"/>
        <v/>
      </c>
    </row>
    <row r="86" spans="1:4" x14ac:dyDescent="0.25">
      <c r="A86" s="24" t="str">
        <f>IF(AND(原始字段追溯!$E$75="字段",原始字段追溯!$N$75=""),原始字段追溯!$A$75,"")</f>
        <v/>
      </c>
      <c r="B86" s="24" t="str">
        <f>IF(A86="","",原始字段追溯!$C$75&amp;"!"&amp;原始字段追溯!$D$75)</f>
        <v/>
      </c>
      <c r="C86" s="24" t="str">
        <f>IF(A86="","",原始字段追溯!$H$75)</f>
        <v/>
      </c>
      <c r="D86" s="24" t="str">
        <f t="shared" si="1"/>
        <v/>
      </c>
    </row>
    <row r="87" spans="1:4" x14ac:dyDescent="0.25">
      <c r="A87" s="24" t="str">
        <f>IF(AND(原始字段追溯!$E$76="字段",原始字段追溯!$N$76=""),原始字段追溯!$A$76,"")</f>
        <v/>
      </c>
      <c r="B87" s="24" t="str">
        <f>IF(A87="","",原始字段追溯!$C$76&amp;"!"&amp;原始字段追溯!$D$76)</f>
        <v/>
      </c>
      <c r="C87" s="24" t="str">
        <f>IF(A87="","",原始字段追溯!$H$76)</f>
        <v/>
      </c>
      <c r="D87" s="24" t="str">
        <f t="shared" si="1"/>
        <v/>
      </c>
    </row>
    <row r="88" spans="1:4" x14ac:dyDescent="0.25">
      <c r="A88" s="24" t="str">
        <f>IF(AND(原始字段追溯!$E$77="字段",原始字段追溯!$N$77=""),原始字段追溯!$A$77,"")</f>
        <v/>
      </c>
      <c r="B88" s="24" t="str">
        <f>IF(A88="","",原始字段追溯!$C$77&amp;"!"&amp;原始字段追溯!$D$77)</f>
        <v/>
      </c>
      <c r="C88" s="24" t="str">
        <f>IF(A88="","",原始字段追溯!$H$77)</f>
        <v/>
      </c>
      <c r="D88" s="24" t="str">
        <f t="shared" si="1"/>
        <v/>
      </c>
    </row>
    <row r="89" spans="1:4" x14ac:dyDescent="0.25">
      <c r="A89" s="24" t="str">
        <f>IF(AND(原始字段追溯!$E$78="字段",原始字段追溯!$N$78=""),原始字段追溯!$A$78,"")</f>
        <v/>
      </c>
      <c r="B89" s="24" t="str">
        <f>IF(A89="","",原始字段追溯!$C$78&amp;"!"&amp;原始字段追溯!$D$78)</f>
        <v/>
      </c>
      <c r="C89" s="24" t="str">
        <f>IF(A89="","",原始字段追溯!$H$78)</f>
        <v/>
      </c>
      <c r="D89" s="24" t="str">
        <f t="shared" si="1"/>
        <v/>
      </c>
    </row>
    <row r="90" spans="1:4" x14ac:dyDescent="0.25">
      <c r="A90" s="24" t="str">
        <f>IF(AND(原始字段追溯!$E$79="字段",原始字段追溯!$N$79=""),原始字段追溯!$A$79,"")</f>
        <v/>
      </c>
      <c r="B90" s="24" t="str">
        <f>IF(A90="","",原始字段追溯!$C$79&amp;"!"&amp;原始字段追溯!$D$79)</f>
        <v/>
      </c>
      <c r="C90" s="24" t="str">
        <f>IF(A90="","",原始字段追溯!$H$79)</f>
        <v/>
      </c>
      <c r="D90" s="24" t="str">
        <f t="shared" si="1"/>
        <v/>
      </c>
    </row>
    <row r="91" spans="1:4" x14ac:dyDescent="0.25">
      <c r="A91" s="24" t="str">
        <f>IF(AND(原始字段追溯!$E$80="字段",原始字段追溯!$N$80=""),原始字段追溯!$A$80,"")</f>
        <v/>
      </c>
      <c r="B91" s="24" t="str">
        <f>IF(A91="","",原始字段追溯!$C$80&amp;"!"&amp;原始字段追溯!$D$80)</f>
        <v/>
      </c>
      <c r="C91" s="24" t="str">
        <f>IF(A91="","",原始字段追溯!$H$80)</f>
        <v/>
      </c>
      <c r="D91" s="24" t="str">
        <f t="shared" si="1"/>
        <v/>
      </c>
    </row>
    <row r="92" spans="1:4" x14ac:dyDescent="0.25">
      <c r="A92" s="24" t="str">
        <f>IF(AND(原始字段追溯!$E$81="字段",原始字段追溯!$N$81=""),原始字段追溯!$A$81,"")</f>
        <v/>
      </c>
      <c r="B92" s="24" t="str">
        <f>IF(A92="","",原始字段追溯!$C$81&amp;"!"&amp;原始字段追溯!$D$81)</f>
        <v/>
      </c>
      <c r="C92" s="24" t="str">
        <f>IF(A92="","",原始字段追溯!$H$81)</f>
        <v/>
      </c>
      <c r="D92" s="24" t="str">
        <f t="shared" si="1"/>
        <v/>
      </c>
    </row>
    <row r="93" spans="1:4" x14ac:dyDescent="0.25">
      <c r="A93" s="24" t="str">
        <f>IF(AND(原始字段追溯!$E$82="字段",原始字段追溯!$N$82=""),原始字段追溯!$A$82,"")</f>
        <v/>
      </c>
      <c r="B93" s="24" t="str">
        <f>IF(A93="","",原始字段追溯!$C$82&amp;"!"&amp;原始字段追溯!$D$82)</f>
        <v/>
      </c>
      <c r="C93" s="24" t="str">
        <f>IF(A93="","",原始字段追溯!$H$82)</f>
        <v/>
      </c>
      <c r="D93" s="24" t="str">
        <f t="shared" si="1"/>
        <v/>
      </c>
    </row>
    <row r="94" spans="1:4" x14ac:dyDescent="0.25">
      <c r="A94" s="24" t="str">
        <f>IF(AND(原始字段追溯!$E$83="字段",原始字段追溯!$N$83=""),原始字段追溯!$A$83,"")</f>
        <v/>
      </c>
      <c r="B94" s="24" t="str">
        <f>IF(A94="","",原始字段追溯!$C$83&amp;"!"&amp;原始字段追溯!$D$83)</f>
        <v/>
      </c>
      <c r="C94" s="24" t="str">
        <f>IF(A94="","",原始字段追溯!$H$83)</f>
        <v/>
      </c>
      <c r="D94" s="24" t="str">
        <f t="shared" si="1"/>
        <v/>
      </c>
    </row>
    <row r="95" spans="1:4" x14ac:dyDescent="0.25">
      <c r="A95" s="24" t="str">
        <f>IF(AND(原始字段追溯!$E$84="字段",原始字段追溯!$N$84=""),原始字段追溯!$A$84,"")</f>
        <v/>
      </c>
      <c r="B95" s="24" t="str">
        <f>IF(A95="","",原始字段追溯!$C$84&amp;"!"&amp;原始字段追溯!$D$84)</f>
        <v/>
      </c>
      <c r="C95" s="24" t="str">
        <f>IF(A95="","",原始字段追溯!$H$84)</f>
        <v/>
      </c>
      <c r="D95" s="24" t="str">
        <f t="shared" si="1"/>
        <v/>
      </c>
    </row>
    <row r="96" spans="1:4" x14ac:dyDescent="0.25">
      <c r="A96" s="24" t="str">
        <f>IF(AND(原始字段追溯!$E$85="字段",原始字段追溯!$N$85=""),原始字段追溯!$A$85,"")</f>
        <v/>
      </c>
      <c r="B96" s="24" t="str">
        <f>IF(A96="","",原始字段追溯!$C$85&amp;"!"&amp;原始字段追溯!$D$85)</f>
        <v/>
      </c>
      <c r="C96" s="24" t="str">
        <f>IF(A96="","",原始字段追溯!$H$85)</f>
        <v/>
      </c>
      <c r="D96" s="24" t="str">
        <f t="shared" si="1"/>
        <v/>
      </c>
    </row>
    <row r="97" spans="1:4" x14ac:dyDescent="0.25">
      <c r="A97" s="24" t="str">
        <f>IF(AND(原始字段追溯!$E$86="字段",原始字段追溯!$N$86=""),原始字段追溯!$A$86,"")</f>
        <v/>
      </c>
      <c r="B97" s="24" t="str">
        <f>IF(A97="","",原始字段追溯!$C$86&amp;"!"&amp;原始字段追溯!$D$86)</f>
        <v/>
      </c>
      <c r="C97" s="24" t="str">
        <f>IF(A97="","",原始字段追溯!$H$86)</f>
        <v/>
      </c>
      <c r="D97" s="24" t="str">
        <f t="shared" si="1"/>
        <v/>
      </c>
    </row>
    <row r="98" spans="1:4" x14ac:dyDescent="0.25">
      <c r="A98" s="24" t="str">
        <f>IF(AND(原始字段追溯!$E$87="字段",原始字段追溯!$N$87=""),原始字段追溯!$A$87,"")</f>
        <v/>
      </c>
      <c r="B98" s="24" t="str">
        <f>IF(A98="","",原始字段追溯!$C$87&amp;"!"&amp;原始字段追溯!$D$87)</f>
        <v/>
      </c>
      <c r="C98" s="24" t="str">
        <f>IF(A98="","",原始字段追溯!$H$87)</f>
        <v/>
      </c>
      <c r="D98" s="24" t="str">
        <f t="shared" si="1"/>
        <v/>
      </c>
    </row>
    <row r="99" spans="1:4" x14ac:dyDescent="0.25">
      <c r="A99" s="24" t="str">
        <f>IF(AND(原始字段追溯!$E$88="字段",原始字段追溯!$N$88=""),原始字段追溯!$A$88,"")</f>
        <v/>
      </c>
      <c r="B99" s="24" t="str">
        <f>IF(A99="","",原始字段追溯!$C$88&amp;"!"&amp;原始字段追溯!$D$88)</f>
        <v/>
      </c>
      <c r="C99" s="24" t="str">
        <f>IF(A99="","",原始字段追溯!$H$88)</f>
        <v/>
      </c>
      <c r="D99" s="24" t="str">
        <f t="shared" si="1"/>
        <v/>
      </c>
    </row>
    <row r="100" spans="1:4" x14ac:dyDescent="0.25">
      <c r="A100" s="24" t="str">
        <f>IF(AND(原始字段追溯!$E$89="字段",原始字段追溯!$N$89=""),原始字段追溯!$A$89,"")</f>
        <v/>
      </c>
      <c r="B100" s="24" t="str">
        <f>IF(A100="","",原始字段追溯!$C$89&amp;"!"&amp;原始字段追溯!$D$89)</f>
        <v/>
      </c>
      <c r="C100" s="24" t="str">
        <f>IF(A100="","",原始字段追溯!$H$89)</f>
        <v/>
      </c>
      <c r="D100" s="24" t="str">
        <f t="shared" si="1"/>
        <v/>
      </c>
    </row>
    <row r="101" spans="1:4" x14ac:dyDescent="0.25">
      <c r="A101" s="24" t="str">
        <f>IF(AND(原始字段追溯!$E$90="字段",原始字段追溯!$N$90=""),原始字段追溯!$A$90,"")</f>
        <v/>
      </c>
      <c r="B101" s="24" t="str">
        <f>IF(A101="","",原始字段追溯!$C$90&amp;"!"&amp;原始字段追溯!$D$90)</f>
        <v/>
      </c>
      <c r="C101" s="24" t="str">
        <f>IF(A101="","",原始字段追溯!$H$90)</f>
        <v/>
      </c>
      <c r="D101" s="24" t="str">
        <f t="shared" si="1"/>
        <v/>
      </c>
    </row>
    <row r="102" spans="1:4" x14ac:dyDescent="0.25">
      <c r="A102" s="24" t="str">
        <f>IF(AND(原始字段追溯!$E$91="字段",原始字段追溯!$N$91=""),原始字段追溯!$A$91,"")</f>
        <v/>
      </c>
      <c r="B102" s="24" t="str">
        <f>IF(A102="","",原始字段追溯!$C$91&amp;"!"&amp;原始字段追溯!$D$91)</f>
        <v/>
      </c>
      <c r="C102" s="24" t="str">
        <f>IF(A102="","",原始字段追溯!$H$91)</f>
        <v/>
      </c>
      <c r="D102" s="24" t="str">
        <f t="shared" si="1"/>
        <v/>
      </c>
    </row>
    <row r="103" spans="1:4" x14ac:dyDescent="0.25">
      <c r="A103" s="24" t="str">
        <f>IF(AND(原始字段追溯!$E$92="字段",原始字段追溯!$N$92=""),原始字段追溯!$A$92,"")</f>
        <v/>
      </c>
      <c r="B103" s="24" t="str">
        <f>IF(A103="","",原始字段追溯!$C$92&amp;"!"&amp;原始字段追溯!$D$92)</f>
        <v/>
      </c>
      <c r="C103" s="24" t="str">
        <f>IF(A103="","",原始字段追溯!$H$92)</f>
        <v/>
      </c>
      <c r="D103" s="24" t="str">
        <f t="shared" si="1"/>
        <v/>
      </c>
    </row>
    <row r="104" spans="1:4" x14ac:dyDescent="0.25">
      <c r="A104" s="24" t="str">
        <f>IF(AND(原始字段追溯!$E$93="字段",原始字段追溯!$N$93=""),原始字段追溯!$A$93,"")</f>
        <v/>
      </c>
      <c r="B104" s="24" t="str">
        <f>IF(A104="","",原始字段追溯!$C$93&amp;"!"&amp;原始字段追溯!$D$93)</f>
        <v/>
      </c>
      <c r="C104" s="24" t="str">
        <f>IF(A104="","",原始字段追溯!$H$93)</f>
        <v/>
      </c>
      <c r="D104" s="24" t="str">
        <f t="shared" si="1"/>
        <v/>
      </c>
    </row>
    <row r="105" spans="1:4" x14ac:dyDescent="0.25">
      <c r="A105" s="24" t="str">
        <f>IF(AND(原始字段追溯!$E$94="字段",原始字段追溯!$N$94=""),原始字段追溯!$A$94,"")</f>
        <v/>
      </c>
      <c r="B105" s="24" t="str">
        <f>IF(A105="","",原始字段追溯!$C$94&amp;"!"&amp;原始字段追溯!$D$94)</f>
        <v/>
      </c>
      <c r="C105" s="24" t="str">
        <f>IF(A105="","",原始字段追溯!$H$94)</f>
        <v/>
      </c>
      <c r="D105" s="24" t="str">
        <f t="shared" si="1"/>
        <v/>
      </c>
    </row>
    <row r="106" spans="1:4" x14ac:dyDescent="0.25">
      <c r="A106" s="24" t="str">
        <f>IF(AND(原始字段追溯!$E$95="字段",原始字段追溯!$N$95=""),原始字段追溯!$A$95,"")</f>
        <v/>
      </c>
      <c r="B106" s="24" t="str">
        <f>IF(A106="","",原始字段追溯!$C$95&amp;"!"&amp;原始字段追溯!$D$95)</f>
        <v/>
      </c>
      <c r="C106" s="24" t="str">
        <f>IF(A106="","",原始字段追溯!$H$95)</f>
        <v/>
      </c>
      <c r="D106" s="24" t="str">
        <f t="shared" si="1"/>
        <v/>
      </c>
    </row>
    <row r="107" spans="1:4" x14ac:dyDescent="0.25">
      <c r="A107" s="24" t="str">
        <f>IF(AND(原始字段追溯!$E$96="字段",原始字段追溯!$N$96=""),原始字段追溯!$A$96,"")</f>
        <v/>
      </c>
      <c r="B107" s="24" t="str">
        <f>IF(A107="","",原始字段追溯!$C$96&amp;"!"&amp;原始字段追溯!$D$96)</f>
        <v/>
      </c>
      <c r="C107" s="24" t="str">
        <f>IF(A107="","",原始字段追溯!$H$96)</f>
        <v/>
      </c>
      <c r="D107" s="24" t="str">
        <f t="shared" si="1"/>
        <v/>
      </c>
    </row>
    <row r="108" spans="1:4" x14ac:dyDescent="0.25">
      <c r="A108" s="24" t="str">
        <f>IF(AND(原始字段追溯!$E$97="字段",原始字段追溯!$N$97=""),原始字段追溯!$A$97,"")</f>
        <v/>
      </c>
      <c r="B108" s="24" t="str">
        <f>IF(A108="","",原始字段追溯!$C$97&amp;"!"&amp;原始字段追溯!$D$97)</f>
        <v/>
      </c>
      <c r="C108" s="24" t="str">
        <f>IF(A108="","",原始字段追溯!$H$97)</f>
        <v/>
      </c>
      <c r="D108" s="24" t="str">
        <f t="shared" si="1"/>
        <v/>
      </c>
    </row>
    <row r="109" spans="1:4" x14ac:dyDescent="0.25">
      <c r="A109" s="24" t="str">
        <f>IF(AND(原始字段追溯!$E$98="字段",原始字段追溯!$N$98=""),原始字段追溯!$A$98,"")</f>
        <v/>
      </c>
      <c r="B109" s="24" t="str">
        <f>IF(A109="","",原始字段追溯!$C$98&amp;"!"&amp;原始字段追溯!$D$98)</f>
        <v/>
      </c>
      <c r="C109" s="24" t="str">
        <f>IF(A109="","",原始字段追溯!$H$98)</f>
        <v/>
      </c>
      <c r="D109" s="24" t="str">
        <f t="shared" si="1"/>
        <v/>
      </c>
    </row>
    <row r="110" spans="1:4" x14ac:dyDescent="0.25">
      <c r="A110" s="24" t="str">
        <f>IF(AND(原始字段追溯!$E$99="字段",原始字段追溯!$N$99=""),原始字段追溯!$A$99,"")</f>
        <v/>
      </c>
      <c r="B110" s="24" t="str">
        <f>IF(A110="","",原始字段追溯!$C$99&amp;"!"&amp;原始字段追溯!$D$99)</f>
        <v/>
      </c>
      <c r="C110" s="24" t="str">
        <f>IF(A110="","",原始字段追溯!$H$99)</f>
        <v/>
      </c>
      <c r="D110" s="24" t="str">
        <f t="shared" si="1"/>
        <v/>
      </c>
    </row>
    <row r="111" spans="1:4" x14ac:dyDescent="0.25">
      <c r="A111" s="24" t="str">
        <f>IF(AND(原始字段追溯!$E$100="字段",原始字段追溯!$N$100=""),原始字段追溯!$A$100,"")</f>
        <v/>
      </c>
      <c r="B111" s="24" t="str">
        <f>IF(A111="","",原始字段追溯!$C$100&amp;"!"&amp;原始字段追溯!$D$100)</f>
        <v/>
      </c>
      <c r="C111" s="24" t="str">
        <f>IF(A111="","",原始字段追溯!$H$100)</f>
        <v/>
      </c>
      <c r="D111" s="24" t="str">
        <f t="shared" si="1"/>
        <v/>
      </c>
    </row>
    <row r="112" spans="1:4" x14ac:dyDescent="0.25">
      <c r="A112" s="24" t="str">
        <f>IF(AND(原始字段追溯!$E$101="字段",原始字段追溯!$N$101=""),原始字段追溯!$A$101,"")</f>
        <v/>
      </c>
      <c r="B112" s="24" t="str">
        <f>IF(A112="","",原始字段追溯!$C$101&amp;"!"&amp;原始字段追溯!$D$101)</f>
        <v/>
      </c>
      <c r="C112" s="24" t="str">
        <f>IF(A112="","",原始字段追溯!$H$101)</f>
        <v/>
      </c>
      <c r="D112" s="24" t="str">
        <f t="shared" si="1"/>
        <v/>
      </c>
    </row>
    <row r="113" spans="1:4" x14ac:dyDescent="0.25">
      <c r="A113" s="24" t="str">
        <f>IF(AND(原始字段追溯!$E$102="字段",原始字段追溯!$N$102=""),原始字段追溯!$A$102,"")</f>
        <v/>
      </c>
      <c r="B113" s="24" t="str">
        <f>IF(A113="","",原始字段追溯!$C$102&amp;"!"&amp;原始字段追溯!$D$102)</f>
        <v/>
      </c>
      <c r="C113" s="24" t="str">
        <f>IF(A113="","",原始字段追溯!$H$102)</f>
        <v/>
      </c>
      <c r="D113" s="24" t="str">
        <f t="shared" si="1"/>
        <v/>
      </c>
    </row>
    <row r="114" spans="1:4" x14ac:dyDescent="0.25">
      <c r="A114" s="24" t="str">
        <f>IF(AND(原始字段追溯!$E$103="字段",原始字段追溯!$N$103=""),原始字段追溯!$A$103,"")</f>
        <v/>
      </c>
      <c r="B114" s="24" t="str">
        <f>IF(A114="","",原始字段追溯!$C$103&amp;"!"&amp;原始字段追溯!$D$103)</f>
        <v/>
      </c>
      <c r="C114" s="24" t="str">
        <f>IF(A114="","",原始字段追溯!$H$103)</f>
        <v/>
      </c>
      <c r="D114" s="24" t="str">
        <f t="shared" si="1"/>
        <v/>
      </c>
    </row>
    <row r="115" spans="1:4" x14ac:dyDescent="0.25">
      <c r="A115" s="24" t="str">
        <f>IF(AND(原始字段追溯!$E$104="字段",原始字段追溯!$N$104=""),原始字段追溯!$A$104,"")</f>
        <v/>
      </c>
      <c r="B115" s="24" t="str">
        <f>IF(A115="","",原始字段追溯!$C$104&amp;"!"&amp;原始字段追溯!$D$104)</f>
        <v/>
      </c>
      <c r="C115" s="24" t="str">
        <f>IF(A115="","",原始字段追溯!$H$104)</f>
        <v/>
      </c>
      <c r="D115" s="24" t="str">
        <f t="shared" si="1"/>
        <v/>
      </c>
    </row>
    <row r="116" spans="1:4" x14ac:dyDescent="0.25">
      <c r="A116" s="24" t="str">
        <f>IF(AND(原始字段追溯!$E$105="字段",原始字段追溯!$N$105=""),原始字段追溯!$A$105,"")</f>
        <v/>
      </c>
      <c r="B116" s="24" t="str">
        <f>IF(A116="","",原始字段追溯!$C$105&amp;"!"&amp;原始字段追溯!$D$105)</f>
        <v/>
      </c>
      <c r="C116" s="24" t="str">
        <f>IF(A116="","",原始字段追溯!$H$105)</f>
        <v/>
      </c>
      <c r="D116" s="24" t="str">
        <f t="shared" si="1"/>
        <v/>
      </c>
    </row>
    <row r="117" spans="1:4" x14ac:dyDescent="0.25">
      <c r="A117" s="24" t="str">
        <f>IF(AND(原始字段追溯!$E$106="字段",原始字段追溯!$N$106=""),原始字段追溯!$A$106,"")</f>
        <v/>
      </c>
      <c r="B117" s="24" t="str">
        <f>IF(A117="","",原始字段追溯!$C$106&amp;"!"&amp;原始字段追溯!$D$106)</f>
        <v/>
      </c>
      <c r="C117" s="24" t="str">
        <f>IF(A117="","",原始字段追溯!$H$106)</f>
        <v/>
      </c>
      <c r="D117" s="24" t="str">
        <f t="shared" si="1"/>
        <v/>
      </c>
    </row>
    <row r="118" spans="1:4" x14ac:dyDescent="0.25">
      <c r="A118" s="24" t="str">
        <f>IF(AND(原始字段追溯!$E$107="字段",原始字段追溯!$N$107=""),原始字段追溯!$A$107,"")</f>
        <v/>
      </c>
      <c r="B118" s="24" t="str">
        <f>IF(A118="","",原始字段追溯!$C$107&amp;"!"&amp;原始字段追溯!$D$107)</f>
        <v/>
      </c>
      <c r="C118" s="24" t="str">
        <f>IF(A118="","",原始字段追溯!$H$107)</f>
        <v/>
      </c>
      <c r="D118" s="24" t="str">
        <f t="shared" si="1"/>
        <v/>
      </c>
    </row>
    <row r="119" spans="1:4" x14ac:dyDescent="0.25">
      <c r="A119" s="24" t="str">
        <f>IF(AND(原始字段追溯!$E$108="字段",原始字段追溯!$N$108=""),原始字段追溯!$A$108,"")</f>
        <v/>
      </c>
      <c r="B119" s="24" t="str">
        <f>IF(A119="","",原始字段追溯!$C$108&amp;"!"&amp;原始字段追溯!$D$108)</f>
        <v/>
      </c>
      <c r="C119" s="24" t="str">
        <f>IF(A119="","",原始字段追溯!$H$108)</f>
        <v/>
      </c>
      <c r="D119" s="24" t="str">
        <f t="shared" si="1"/>
        <v/>
      </c>
    </row>
    <row r="120" spans="1:4" x14ac:dyDescent="0.25">
      <c r="A120" s="24" t="str">
        <f>IF(AND(原始字段追溯!$E$109="字段",原始字段追溯!$N$109=""),原始字段追溯!$A$109,"")</f>
        <v/>
      </c>
      <c r="B120" s="24" t="str">
        <f>IF(A120="","",原始字段追溯!$C$109&amp;"!"&amp;原始字段追溯!$D$109)</f>
        <v/>
      </c>
      <c r="C120" s="24" t="str">
        <f>IF(A120="","",原始字段追溯!$H$109)</f>
        <v/>
      </c>
      <c r="D120" s="24" t="str">
        <f t="shared" si="1"/>
        <v/>
      </c>
    </row>
    <row r="121" spans="1:4" x14ac:dyDescent="0.25">
      <c r="A121" s="24" t="str">
        <f>IF(AND(原始字段追溯!$E$110="字段",原始字段追溯!$N$110=""),原始字段追溯!$A$110,"")</f>
        <v/>
      </c>
      <c r="B121" s="24" t="str">
        <f>IF(A121="","",原始字段追溯!$C$110&amp;"!"&amp;原始字段追溯!$D$110)</f>
        <v/>
      </c>
      <c r="C121" s="24" t="str">
        <f>IF(A121="","",原始字段追溯!$H$110)</f>
        <v/>
      </c>
      <c r="D121" s="24" t="str">
        <f t="shared" si="1"/>
        <v/>
      </c>
    </row>
    <row r="122" spans="1:4" x14ac:dyDescent="0.25">
      <c r="A122" s="24" t="str">
        <f>IF(AND(原始字段追溯!$E$111="字段",原始字段追溯!$N$111=""),原始字段追溯!$A$111,"")</f>
        <v/>
      </c>
      <c r="B122" s="24" t="str">
        <f>IF(A122="","",原始字段追溯!$C$111&amp;"!"&amp;原始字段追溯!$D$111)</f>
        <v/>
      </c>
      <c r="C122" s="24" t="str">
        <f>IF(A122="","",原始字段追溯!$H$111)</f>
        <v/>
      </c>
      <c r="D122" s="24" t="str">
        <f t="shared" si="1"/>
        <v/>
      </c>
    </row>
    <row r="123" spans="1:4" x14ac:dyDescent="0.25">
      <c r="A123" s="24" t="str">
        <f>IF(AND(原始字段追溯!$E$112="字段",原始字段追溯!$N$112=""),原始字段追溯!$A$112,"")</f>
        <v/>
      </c>
      <c r="B123" s="24" t="str">
        <f>IF(A123="","",原始字段追溯!$C$112&amp;"!"&amp;原始字段追溯!$D$112)</f>
        <v/>
      </c>
      <c r="C123" s="24" t="str">
        <f>IF(A123="","",原始字段追溯!$H$112)</f>
        <v/>
      </c>
      <c r="D123" s="24" t="str">
        <f t="shared" si="1"/>
        <v/>
      </c>
    </row>
    <row r="124" spans="1:4" x14ac:dyDescent="0.25">
      <c r="A124" s="24" t="str">
        <f>IF(AND(原始字段追溯!$E$113="字段",原始字段追溯!$N$113=""),原始字段追溯!$A$113,"")</f>
        <v/>
      </c>
      <c r="B124" s="24" t="str">
        <f>IF(A124="","",原始字段追溯!$C$113&amp;"!"&amp;原始字段追溯!$D$113)</f>
        <v/>
      </c>
      <c r="C124" s="24" t="str">
        <f>IF(A124="","",原始字段追溯!$H$113)</f>
        <v/>
      </c>
      <c r="D124" s="24" t="str">
        <f t="shared" si="1"/>
        <v/>
      </c>
    </row>
    <row r="125" spans="1:4" x14ac:dyDescent="0.25">
      <c r="A125" s="24" t="str">
        <f>IF(AND(原始字段追溯!$E$114="字段",原始字段追溯!$N$114=""),原始字段追溯!$A$114,"")</f>
        <v/>
      </c>
      <c r="B125" s="24" t="str">
        <f>IF(A125="","",原始字段追溯!$C$114&amp;"!"&amp;原始字段追溯!$D$114)</f>
        <v/>
      </c>
      <c r="C125" s="24" t="str">
        <f>IF(A125="","",原始字段追溯!$H$114)</f>
        <v/>
      </c>
      <c r="D125" s="24" t="str">
        <f t="shared" si="1"/>
        <v/>
      </c>
    </row>
    <row r="126" spans="1:4" x14ac:dyDescent="0.25">
      <c r="A126" s="24" t="str">
        <f>IF(AND(原始字段追溯!$E$115="字段",原始字段追溯!$N$115=""),原始字段追溯!$A$115,"")</f>
        <v/>
      </c>
      <c r="B126" s="24" t="str">
        <f>IF(A126="","",原始字段追溯!$C$115&amp;"!"&amp;原始字段追溯!$D$115)</f>
        <v/>
      </c>
      <c r="C126" s="24" t="str">
        <f>IF(A126="","",原始字段追溯!$H$115)</f>
        <v/>
      </c>
      <c r="D126" s="24" t="str">
        <f t="shared" si="1"/>
        <v/>
      </c>
    </row>
    <row r="127" spans="1:4" x14ac:dyDescent="0.25">
      <c r="A127" s="24" t="str">
        <f>IF(AND(原始字段追溯!$E$116="字段",原始字段追溯!$N$116=""),原始字段追溯!$A$116,"")</f>
        <v/>
      </c>
      <c r="B127" s="24" t="str">
        <f>IF(A127="","",原始字段追溯!$C$116&amp;"!"&amp;原始字段追溯!$D$116)</f>
        <v/>
      </c>
      <c r="C127" s="24" t="str">
        <f>IF(A127="","",原始字段追溯!$H$116)</f>
        <v/>
      </c>
      <c r="D127" s="24" t="str">
        <f t="shared" si="1"/>
        <v/>
      </c>
    </row>
    <row r="128" spans="1:4" x14ac:dyDescent="0.25">
      <c r="A128" s="24" t="str">
        <f>IF(AND(原始字段追溯!$E$117="字段",原始字段追溯!$N$117=""),原始字段追溯!$A$117,"")</f>
        <v/>
      </c>
      <c r="B128" s="24" t="str">
        <f>IF(A128="","",原始字段追溯!$C$117&amp;"!"&amp;原始字段追溯!$D$117)</f>
        <v/>
      </c>
      <c r="C128" s="24" t="str">
        <f>IF(A128="","",原始字段追溯!$H$117)</f>
        <v/>
      </c>
      <c r="D128" s="24" t="str">
        <f t="shared" si="1"/>
        <v/>
      </c>
    </row>
    <row r="129" spans="1:4" x14ac:dyDescent="0.25">
      <c r="A129" s="24" t="str">
        <f>IF(AND(原始字段追溯!$E$118="字段",原始字段追溯!$N$118=""),原始字段追溯!$A$118,"")</f>
        <v/>
      </c>
      <c r="B129" s="24" t="str">
        <f>IF(A129="","",原始字段追溯!$C$118&amp;"!"&amp;原始字段追溯!$D$118)</f>
        <v/>
      </c>
      <c r="C129" s="24" t="str">
        <f>IF(A129="","",原始字段追溯!$H$118)</f>
        <v/>
      </c>
      <c r="D129" s="24" t="str">
        <f t="shared" si="1"/>
        <v/>
      </c>
    </row>
    <row r="130" spans="1:4" x14ac:dyDescent="0.25">
      <c r="A130" s="24" t="str">
        <f>IF(AND(原始字段追溯!$E$119="字段",原始字段追溯!$N$119=""),原始字段追溯!$A$119,"")</f>
        <v/>
      </c>
      <c r="B130" s="24" t="str">
        <f>IF(A130="","",原始字段追溯!$C$119&amp;"!"&amp;原始字段追溯!$D$119)</f>
        <v/>
      </c>
      <c r="C130" s="24" t="str">
        <f>IF(A130="","",原始字段追溯!$H$119)</f>
        <v/>
      </c>
      <c r="D130" s="24" t="str">
        <f t="shared" si="1"/>
        <v/>
      </c>
    </row>
    <row r="131" spans="1:4" x14ac:dyDescent="0.25">
      <c r="A131" s="24" t="str">
        <f>IF(AND(原始字段追溯!$E$120="字段",原始字段追溯!$N$120=""),原始字段追溯!$A$120,"")</f>
        <v/>
      </c>
      <c r="B131" s="24" t="str">
        <f>IF(A131="","",原始字段追溯!$C$120&amp;"!"&amp;原始字段追溯!$D$120)</f>
        <v/>
      </c>
      <c r="C131" s="24" t="str">
        <f>IF(A131="","",原始字段追溯!$H$120)</f>
        <v/>
      </c>
      <c r="D131" s="24" t="str">
        <f t="shared" si="1"/>
        <v/>
      </c>
    </row>
    <row r="132" spans="1:4" x14ac:dyDescent="0.25">
      <c r="A132" s="24" t="str">
        <f>IF(AND(原始字段追溯!$E$121="字段",原始字段追溯!$N$121=""),原始字段追溯!$A$121,"")</f>
        <v/>
      </c>
      <c r="B132" s="24" t="str">
        <f>IF(A132="","",原始字段追溯!$C$121&amp;"!"&amp;原始字段追溯!$D$121)</f>
        <v/>
      </c>
      <c r="C132" s="24" t="str">
        <f>IF(A132="","",原始字段追溯!$H$121)</f>
        <v/>
      </c>
      <c r="D132" s="24" t="str">
        <f t="shared" si="1"/>
        <v/>
      </c>
    </row>
    <row r="133" spans="1:4" x14ac:dyDescent="0.25">
      <c r="A133" s="24" t="str">
        <f>IF(AND(原始字段追溯!$E$122="字段",原始字段追溯!$N$122=""),原始字段追溯!$A$122,"")</f>
        <v/>
      </c>
      <c r="B133" s="24" t="str">
        <f>IF(A133="","",原始字段追溯!$C$122&amp;"!"&amp;原始字段追溯!$D$122)</f>
        <v/>
      </c>
      <c r="C133" s="24" t="str">
        <f>IF(A133="","",原始字段追溯!$H$122)</f>
        <v/>
      </c>
      <c r="D133" s="24" t="str">
        <f t="shared" si="1"/>
        <v/>
      </c>
    </row>
    <row r="134" spans="1:4" x14ac:dyDescent="0.25">
      <c r="A134" s="24" t="str">
        <f>IF(AND(原始字段追溯!$E$123="字段",原始字段追溯!$N$123=""),原始字段追溯!$A$123,"")</f>
        <v/>
      </c>
      <c r="B134" s="24" t="str">
        <f>IF(A134="","",原始字段追溯!$C$123&amp;"!"&amp;原始字段追溯!$D$123)</f>
        <v/>
      </c>
      <c r="C134" s="24" t="str">
        <f>IF(A134="","",原始字段追溯!$H$123)</f>
        <v/>
      </c>
      <c r="D134" s="24" t="str">
        <f t="shared" si="1"/>
        <v/>
      </c>
    </row>
    <row r="135" spans="1:4" x14ac:dyDescent="0.25">
      <c r="A135" s="24" t="str">
        <f>IF(AND(原始字段追溯!$E$124="字段",原始字段追溯!$N$124=""),原始字段追溯!$A$124,"")</f>
        <v/>
      </c>
      <c r="B135" s="24" t="str">
        <f>IF(A135="","",原始字段追溯!$C$124&amp;"!"&amp;原始字段追溯!$D$124)</f>
        <v/>
      </c>
      <c r="C135" s="24" t="str">
        <f>IF(A135="","",原始字段追溯!$H$124)</f>
        <v/>
      </c>
      <c r="D135" s="24" t="str">
        <f t="shared" si="1"/>
        <v/>
      </c>
    </row>
    <row r="136" spans="1:4" x14ac:dyDescent="0.25">
      <c r="A136" s="24" t="str">
        <f>IF(AND(原始字段追溯!$E$125="字段",原始字段追溯!$N$125=""),原始字段追溯!$A$125,"")</f>
        <v/>
      </c>
      <c r="B136" s="24" t="str">
        <f>IF(A136="","",原始字段追溯!$C$125&amp;"!"&amp;原始字段追溯!$D$125)</f>
        <v/>
      </c>
      <c r="C136" s="24" t="str">
        <f>IF(A136="","",原始字段追溯!$H$125)</f>
        <v/>
      </c>
      <c r="D136" s="24" t="str">
        <f t="shared" si="1"/>
        <v/>
      </c>
    </row>
    <row r="137" spans="1:4" x14ac:dyDescent="0.25">
      <c r="A137" s="24" t="str">
        <f>IF(AND(原始字段追溯!$E$126="字段",原始字段追溯!$N$126=""),原始字段追溯!$A$126,"")</f>
        <v/>
      </c>
      <c r="B137" s="24" t="str">
        <f>IF(A137="","",原始字段追溯!$C$126&amp;"!"&amp;原始字段追溯!$D$126)</f>
        <v/>
      </c>
      <c r="C137" s="24" t="str">
        <f>IF(A137="","",原始字段追溯!$H$126)</f>
        <v/>
      </c>
      <c r="D137" s="24" t="str">
        <f t="shared" si="1"/>
        <v/>
      </c>
    </row>
    <row r="138" spans="1:4" x14ac:dyDescent="0.25">
      <c r="A138" s="24" t="str">
        <f>IF(AND(原始字段追溯!$E$127="字段",原始字段追溯!$N$127=""),原始字段追溯!$A$127,"")</f>
        <v/>
      </c>
      <c r="B138" s="24" t="str">
        <f>IF(A138="","",原始字段追溯!$C$127&amp;"!"&amp;原始字段追溯!$D$127)</f>
        <v/>
      </c>
      <c r="C138" s="24" t="str">
        <f>IF(A138="","",原始字段追溯!$H$127)</f>
        <v/>
      </c>
      <c r="D138" s="24" t="str">
        <f t="shared" si="1"/>
        <v/>
      </c>
    </row>
    <row r="139" spans="1:4" x14ac:dyDescent="0.25">
      <c r="A139" s="24" t="str">
        <f>IF(AND(原始字段追溯!$E$128="字段",原始字段追溯!$N$128=""),原始字段追溯!$A$128,"")</f>
        <v/>
      </c>
      <c r="B139" s="24" t="str">
        <f>IF(A139="","",原始字段追溯!$C$128&amp;"!"&amp;原始字段追溯!$D$128)</f>
        <v/>
      </c>
      <c r="C139" s="24" t="str">
        <f>IF(A139="","",原始字段追溯!$H$128)</f>
        <v/>
      </c>
      <c r="D139" s="24" t="str">
        <f t="shared" si="1"/>
        <v/>
      </c>
    </row>
    <row r="140" spans="1:4" x14ac:dyDescent="0.25">
      <c r="A140" s="24" t="str">
        <f>IF(AND(原始字段追溯!$E$129="字段",原始字段追溯!$N$129=""),原始字段追溯!$A$129,"")</f>
        <v/>
      </c>
      <c r="B140" s="24" t="str">
        <f>IF(A140="","",原始字段追溯!$C$129&amp;"!"&amp;原始字段追溯!$D$129)</f>
        <v/>
      </c>
      <c r="C140" s="24" t="str">
        <f>IF(A140="","",原始字段追溯!$H$129)</f>
        <v/>
      </c>
      <c r="D140" s="24" t="str">
        <f t="shared" si="1"/>
        <v/>
      </c>
    </row>
    <row r="141" spans="1:4" x14ac:dyDescent="0.25">
      <c r="A141" s="24" t="str">
        <f>IF(AND(原始字段追溯!$E$130="字段",原始字段追溯!$N$130=""),原始字段追溯!$A$130,"")</f>
        <v/>
      </c>
      <c r="B141" s="24" t="str">
        <f>IF(A141="","",原始字段追溯!$C$130&amp;"!"&amp;原始字段追溯!$D$130)</f>
        <v/>
      </c>
      <c r="C141" s="24" t="str">
        <f>IF(A141="","",原始字段追溯!$H$130)</f>
        <v/>
      </c>
      <c r="D141" s="24" t="str">
        <f t="shared" si="1"/>
        <v/>
      </c>
    </row>
    <row r="142" spans="1:4" x14ac:dyDescent="0.25">
      <c r="A142" s="24" t="str">
        <f>IF(AND(原始字段追溯!$E$131="字段",原始字段追溯!$N$131=""),原始字段追溯!$A$131,"")</f>
        <v/>
      </c>
      <c r="B142" s="24" t="str">
        <f>IF(A142="","",原始字段追溯!$C$131&amp;"!"&amp;原始字段追溯!$D$131)</f>
        <v/>
      </c>
      <c r="C142" s="24" t="str">
        <f>IF(A142="","",原始字段追溯!$H$131)</f>
        <v/>
      </c>
      <c r="D142" s="24" t="str">
        <f t="shared" si="1"/>
        <v/>
      </c>
    </row>
    <row r="143" spans="1:4" x14ac:dyDescent="0.25">
      <c r="A143" s="24" t="str">
        <f>IF(AND(原始字段追溯!$E$132="字段",原始字段追溯!$N$132=""),原始字段追溯!$A$132,"")</f>
        <v/>
      </c>
      <c r="B143" s="24" t="str">
        <f>IF(A143="","",原始字段追溯!$C$132&amp;"!"&amp;原始字段追溯!$D$132)</f>
        <v/>
      </c>
      <c r="C143" s="24" t="str">
        <f>IF(A143="","",原始字段追溯!$H$132)</f>
        <v/>
      </c>
      <c r="D143" s="24" t="str">
        <f t="shared" si="1"/>
        <v/>
      </c>
    </row>
    <row r="144" spans="1:4" x14ac:dyDescent="0.25">
      <c r="A144" s="24" t="str">
        <f>IF(AND(原始字段追溯!$E$133="字段",原始字段追溯!$N$133=""),原始字段追溯!$A$133,"")</f>
        <v/>
      </c>
      <c r="B144" s="24" t="str">
        <f>IF(A144="","",原始字段追溯!$C$133&amp;"!"&amp;原始字段追溯!$D$133)</f>
        <v/>
      </c>
      <c r="C144" s="24" t="str">
        <f>IF(A144="","",原始字段追溯!$H$133)</f>
        <v/>
      </c>
      <c r="D144" s="24" t="str">
        <f t="shared" ref="D144:D207" si="2">IF(A144="","","正式源字段未映射")</f>
        <v/>
      </c>
    </row>
    <row r="145" spans="1:4" x14ac:dyDescent="0.25">
      <c r="A145" s="24" t="str">
        <f>IF(AND(原始字段追溯!$E$134="字段",原始字段追溯!$N$134=""),原始字段追溯!$A$134,"")</f>
        <v/>
      </c>
      <c r="B145" s="24" t="str">
        <f>IF(A145="","",原始字段追溯!$C$134&amp;"!"&amp;原始字段追溯!$D$134)</f>
        <v/>
      </c>
      <c r="C145" s="24" t="str">
        <f>IF(A145="","",原始字段追溯!$H$134)</f>
        <v/>
      </c>
      <c r="D145" s="24" t="str">
        <f t="shared" si="2"/>
        <v/>
      </c>
    </row>
    <row r="146" spans="1:4" x14ac:dyDescent="0.25">
      <c r="A146" s="24" t="str">
        <f>IF(AND(原始字段追溯!$E$135="字段",原始字段追溯!$N$135=""),原始字段追溯!$A$135,"")</f>
        <v/>
      </c>
      <c r="B146" s="24" t="str">
        <f>IF(A146="","",原始字段追溯!$C$135&amp;"!"&amp;原始字段追溯!$D$135)</f>
        <v/>
      </c>
      <c r="C146" s="24" t="str">
        <f>IF(A146="","",原始字段追溯!$H$135)</f>
        <v/>
      </c>
      <c r="D146" s="24" t="str">
        <f t="shared" si="2"/>
        <v/>
      </c>
    </row>
    <row r="147" spans="1:4" x14ac:dyDescent="0.25">
      <c r="A147" s="24" t="str">
        <f>IF(AND(原始字段追溯!$E$136="字段",原始字段追溯!$N$136=""),原始字段追溯!$A$136,"")</f>
        <v/>
      </c>
      <c r="B147" s="24" t="str">
        <f>IF(A147="","",原始字段追溯!$C$136&amp;"!"&amp;原始字段追溯!$D$136)</f>
        <v/>
      </c>
      <c r="C147" s="24" t="str">
        <f>IF(A147="","",原始字段追溯!$H$136)</f>
        <v/>
      </c>
      <c r="D147" s="24" t="str">
        <f t="shared" si="2"/>
        <v/>
      </c>
    </row>
    <row r="148" spans="1:4" x14ac:dyDescent="0.25">
      <c r="A148" s="24" t="str">
        <f>IF(AND(原始字段追溯!$E$137="字段",原始字段追溯!$N$137=""),原始字段追溯!$A$137,"")</f>
        <v/>
      </c>
      <c r="B148" s="24" t="str">
        <f>IF(A148="","",原始字段追溯!$C$137&amp;"!"&amp;原始字段追溯!$D$137)</f>
        <v/>
      </c>
      <c r="C148" s="24" t="str">
        <f>IF(A148="","",原始字段追溯!$H$137)</f>
        <v/>
      </c>
      <c r="D148" s="24" t="str">
        <f t="shared" si="2"/>
        <v/>
      </c>
    </row>
    <row r="149" spans="1:4" x14ac:dyDescent="0.25">
      <c r="A149" s="24" t="str">
        <f>IF(AND(原始字段追溯!$E$138="字段",原始字段追溯!$N$138=""),原始字段追溯!$A$138,"")</f>
        <v/>
      </c>
      <c r="B149" s="24" t="str">
        <f>IF(A149="","",原始字段追溯!$C$138&amp;"!"&amp;原始字段追溯!$D$138)</f>
        <v/>
      </c>
      <c r="C149" s="24" t="str">
        <f>IF(A149="","",原始字段追溯!$H$138)</f>
        <v/>
      </c>
      <c r="D149" s="24" t="str">
        <f t="shared" si="2"/>
        <v/>
      </c>
    </row>
    <row r="150" spans="1:4" x14ac:dyDescent="0.25">
      <c r="A150" s="24" t="str">
        <f>IF(AND(原始字段追溯!$E$139="字段",原始字段追溯!$N$139=""),原始字段追溯!$A$139,"")</f>
        <v/>
      </c>
      <c r="B150" s="24" t="str">
        <f>IF(A150="","",原始字段追溯!$C$139&amp;"!"&amp;原始字段追溯!$D$139)</f>
        <v/>
      </c>
      <c r="C150" s="24" t="str">
        <f>IF(A150="","",原始字段追溯!$H$139)</f>
        <v/>
      </c>
      <c r="D150" s="24" t="str">
        <f t="shared" si="2"/>
        <v/>
      </c>
    </row>
    <row r="151" spans="1:4" x14ac:dyDescent="0.25">
      <c r="A151" s="24" t="str">
        <f>IF(AND(原始字段追溯!$E$140="字段",原始字段追溯!$N$140=""),原始字段追溯!$A$140,"")</f>
        <v/>
      </c>
      <c r="B151" s="24" t="str">
        <f>IF(A151="","",原始字段追溯!$C$140&amp;"!"&amp;原始字段追溯!$D$140)</f>
        <v/>
      </c>
      <c r="C151" s="24" t="str">
        <f>IF(A151="","",原始字段追溯!$H$140)</f>
        <v/>
      </c>
      <c r="D151" s="24" t="str">
        <f t="shared" si="2"/>
        <v/>
      </c>
    </row>
    <row r="152" spans="1:4" x14ac:dyDescent="0.25">
      <c r="A152" s="24" t="str">
        <f>IF(AND(原始字段追溯!$E$141="字段",原始字段追溯!$N$141=""),原始字段追溯!$A$141,"")</f>
        <v/>
      </c>
      <c r="B152" s="24" t="str">
        <f>IF(A152="","",原始字段追溯!$C$141&amp;"!"&amp;原始字段追溯!$D$141)</f>
        <v/>
      </c>
      <c r="C152" s="24" t="str">
        <f>IF(A152="","",原始字段追溯!$H$141)</f>
        <v/>
      </c>
      <c r="D152" s="24" t="str">
        <f t="shared" si="2"/>
        <v/>
      </c>
    </row>
    <row r="153" spans="1:4" x14ac:dyDescent="0.25">
      <c r="A153" s="24" t="str">
        <f>IF(AND(原始字段追溯!$E$142="字段",原始字段追溯!$N$142=""),原始字段追溯!$A$142,"")</f>
        <v/>
      </c>
      <c r="B153" s="24" t="str">
        <f>IF(A153="","",原始字段追溯!$C$142&amp;"!"&amp;原始字段追溯!$D$142)</f>
        <v/>
      </c>
      <c r="C153" s="24" t="str">
        <f>IF(A153="","",原始字段追溯!$H$142)</f>
        <v/>
      </c>
      <c r="D153" s="24" t="str">
        <f t="shared" si="2"/>
        <v/>
      </c>
    </row>
    <row r="154" spans="1:4" x14ac:dyDescent="0.25">
      <c r="A154" s="24" t="str">
        <f>IF(AND(原始字段追溯!$E$143="字段",原始字段追溯!$N$143=""),原始字段追溯!$A$143,"")</f>
        <v/>
      </c>
      <c r="B154" s="24" t="str">
        <f>IF(A154="","",原始字段追溯!$C$143&amp;"!"&amp;原始字段追溯!$D$143)</f>
        <v/>
      </c>
      <c r="C154" s="24" t="str">
        <f>IF(A154="","",原始字段追溯!$H$143)</f>
        <v/>
      </c>
      <c r="D154" s="24" t="str">
        <f t="shared" si="2"/>
        <v/>
      </c>
    </row>
    <row r="155" spans="1:4" x14ac:dyDescent="0.25">
      <c r="A155" s="24" t="str">
        <f>IF(AND(原始字段追溯!$E$144="字段",原始字段追溯!$N$144=""),原始字段追溯!$A$144,"")</f>
        <v/>
      </c>
      <c r="B155" s="24" t="str">
        <f>IF(A155="","",原始字段追溯!$C$144&amp;"!"&amp;原始字段追溯!$D$144)</f>
        <v/>
      </c>
      <c r="C155" s="24" t="str">
        <f>IF(A155="","",原始字段追溯!$H$144)</f>
        <v/>
      </c>
      <c r="D155" s="24" t="str">
        <f t="shared" si="2"/>
        <v/>
      </c>
    </row>
    <row r="156" spans="1:4" x14ac:dyDescent="0.25">
      <c r="A156" s="24" t="str">
        <f>IF(AND(原始字段追溯!$E$145="字段",原始字段追溯!$N$145=""),原始字段追溯!$A$145,"")</f>
        <v/>
      </c>
      <c r="B156" s="24" t="str">
        <f>IF(A156="","",原始字段追溯!$C$145&amp;"!"&amp;原始字段追溯!$D$145)</f>
        <v/>
      </c>
      <c r="C156" s="24" t="str">
        <f>IF(A156="","",原始字段追溯!$H$145)</f>
        <v/>
      </c>
      <c r="D156" s="24" t="str">
        <f t="shared" si="2"/>
        <v/>
      </c>
    </row>
    <row r="157" spans="1:4" x14ac:dyDescent="0.25">
      <c r="A157" s="24" t="str">
        <f>IF(AND(原始字段追溯!$E$146="字段",原始字段追溯!$N$146=""),原始字段追溯!$A$146,"")</f>
        <v/>
      </c>
      <c r="B157" s="24" t="str">
        <f>IF(A157="","",原始字段追溯!$C$146&amp;"!"&amp;原始字段追溯!$D$146)</f>
        <v/>
      </c>
      <c r="C157" s="24" t="str">
        <f>IF(A157="","",原始字段追溯!$H$146)</f>
        <v/>
      </c>
      <c r="D157" s="24" t="str">
        <f t="shared" si="2"/>
        <v/>
      </c>
    </row>
    <row r="158" spans="1:4" x14ac:dyDescent="0.25">
      <c r="A158" s="24" t="str">
        <f>IF(AND(原始字段追溯!$E$147="字段",原始字段追溯!$N$147=""),原始字段追溯!$A$147,"")</f>
        <v/>
      </c>
      <c r="B158" s="24" t="str">
        <f>IF(A158="","",原始字段追溯!$C$147&amp;"!"&amp;原始字段追溯!$D$147)</f>
        <v/>
      </c>
      <c r="C158" s="24" t="str">
        <f>IF(A158="","",原始字段追溯!$H$147)</f>
        <v/>
      </c>
      <c r="D158" s="24" t="str">
        <f t="shared" si="2"/>
        <v/>
      </c>
    </row>
    <row r="159" spans="1:4" x14ac:dyDescent="0.25">
      <c r="A159" s="24" t="str">
        <f>IF(AND(原始字段追溯!$E$148="字段",原始字段追溯!$N$148=""),原始字段追溯!$A$148,"")</f>
        <v/>
      </c>
      <c r="B159" s="24" t="str">
        <f>IF(A159="","",原始字段追溯!$C$148&amp;"!"&amp;原始字段追溯!$D$148)</f>
        <v/>
      </c>
      <c r="C159" s="24" t="str">
        <f>IF(A159="","",原始字段追溯!$H$148)</f>
        <v/>
      </c>
      <c r="D159" s="24" t="str">
        <f t="shared" si="2"/>
        <v/>
      </c>
    </row>
    <row r="160" spans="1:4" x14ac:dyDescent="0.25">
      <c r="A160" s="24" t="str">
        <f>IF(AND(原始字段追溯!$E$149="字段",原始字段追溯!$N$149=""),原始字段追溯!$A$149,"")</f>
        <v/>
      </c>
      <c r="B160" s="24" t="str">
        <f>IF(A160="","",原始字段追溯!$C$149&amp;"!"&amp;原始字段追溯!$D$149)</f>
        <v/>
      </c>
      <c r="C160" s="24" t="str">
        <f>IF(A160="","",原始字段追溯!$H$149)</f>
        <v/>
      </c>
      <c r="D160" s="24" t="str">
        <f t="shared" si="2"/>
        <v/>
      </c>
    </row>
    <row r="161" spans="1:4" x14ac:dyDescent="0.25">
      <c r="A161" s="24" t="str">
        <f>IF(AND(原始字段追溯!$E$150="字段",原始字段追溯!$N$150=""),原始字段追溯!$A$150,"")</f>
        <v/>
      </c>
      <c r="B161" s="24" t="str">
        <f>IF(A161="","",原始字段追溯!$C$150&amp;"!"&amp;原始字段追溯!$D$150)</f>
        <v/>
      </c>
      <c r="C161" s="24" t="str">
        <f>IF(A161="","",原始字段追溯!$H$150)</f>
        <v/>
      </c>
      <c r="D161" s="24" t="str">
        <f t="shared" si="2"/>
        <v/>
      </c>
    </row>
    <row r="162" spans="1:4" x14ac:dyDescent="0.25">
      <c r="A162" s="24" t="str">
        <f>IF(AND(原始字段追溯!$E$151="字段",原始字段追溯!$N$151=""),原始字段追溯!$A$151,"")</f>
        <v/>
      </c>
      <c r="B162" s="24" t="str">
        <f>IF(A162="","",原始字段追溯!$C$151&amp;"!"&amp;原始字段追溯!$D$151)</f>
        <v/>
      </c>
      <c r="C162" s="24" t="str">
        <f>IF(A162="","",原始字段追溯!$H$151)</f>
        <v/>
      </c>
      <c r="D162" s="24" t="str">
        <f t="shared" si="2"/>
        <v/>
      </c>
    </row>
    <row r="163" spans="1:4" x14ac:dyDescent="0.25">
      <c r="A163" s="24" t="str">
        <f>IF(AND(原始字段追溯!$E$152="字段",原始字段追溯!$N$152=""),原始字段追溯!$A$152,"")</f>
        <v/>
      </c>
      <c r="B163" s="24" t="str">
        <f>IF(A163="","",原始字段追溯!$C$152&amp;"!"&amp;原始字段追溯!$D$152)</f>
        <v/>
      </c>
      <c r="C163" s="24" t="str">
        <f>IF(A163="","",原始字段追溯!$H$152)</f>
        <v/>
      </c>
      <c r="D163" s="24" t="str">
        <f t="shared" si="2"/>
        <v/>
      </c>
    </row>
    <row r="164" spans="1:4" x14ac:dyDescent="0.25">
      <c r="A164" s="24" t="str">
        <f>IF(AND(原始字段追溯!$E$153="字段",原始字段追溯!$N$153=""),原始字段追溯!$A$153,"")</f>
        <v/>
      </c>
      <c r="B164" s="24" t="str">
        <f>IF(A164="","",原始字段追溯!$C$153&amp;"!"&amp;原始字段追溯!$D$153)</f>
        <v/>
      </c>
      <c r="C164" s="24" t="str">
        <f>IF(A164="","",原始字段追溯!$H$153)</f>
        <v/>
      </c>
      <c r="D164" s="24" t="str">
        <f t="shared" si="2"/>
        <v/>
      </c>
    </row>
    <row r="165" spans="1:4" x14ac:dyDescent="0.25">
      <c r="A165" s="24" t="str">
        <f>IF(AND(原始字段追溯!$E$154="字段",原始字段追溯!$N$154=""),原始字段追溯!$A$154,"")</f>
        <v/>
      </c>
      <c r="B165" s="24" t="str">
        <f>IF(A165="","",原始字段追溯!$C$154&amp;"!"&amp;原始字段追溯!$D$154)</f>
        <v/>
      </c>
      <c r="C165" s="24" t="str">
        <f>IF(A165="","",原始字段追溯!$H$154)</f>
        <v/>
      </c>
      <c r="D165" s="24" t="str">
        <f t="shared" si="2"/>
        <v/>
      </c>
    </row>
    <row r="166" spans="1:4" x14ac:dyDescent="0.25">
      <c r="A166" s="24" t="str">
        <f>IF(AND(原始字段追溯!$E$155="字段",原始字段追溯!$N$155=""),原始字段追溯!$A$155,"")</f>
        <v/>
      </c>
      <c r="B166" s="24" t="str">
        <f>IF(A166="","",原始字段追溯!$C$155&amp;"!"&amp;原始字段追溯!$D$155)</f>
        <v/>
      </c>
      <c r="C166" s="24" t="str">
        <f>IF(A166="","",原始字段追溯!$H$155)</f>
        <v/>
      </c>
      <c r="D166" s="24" t="str">
        <f t="shared" si="2"/>
        <v/>
      </c>
    </row>
    <row r="167" spans="1:4" x14ac:dyDescent="0.25">
      <c r="A167" s="24" t="str">
        <f>IF(AND(原始字段追溯!$E$156="字段",原始字段追溯!$N$156=""),原始字段追溯!$A$156,"")</f>
        <v/>
      </c>
      <c r="B167" s="24" t="str">
        <f>IF(A167="","",原始字段追溯!$C$156&amp;"!"&amp;原始字段追溯!$D$156)</f>
        <v/>
      </c>
      <c r="C167" s="24" t="str">
        <f>IF(A167="","",原始字段追溯!$H$156)</f>
        <v/>
      </c>
      <c r="D167" s="24" t="str">
        <f t="shared" si="2"/>
        <v/>
      </c>
    </row>
    <row r="168" spans="1:4" x14ac:dyDescent="0.25">
      <c r="A168" s="24" t="str">
        <f>IF(AND(原始字段追溯!$E$157="字段",原始字段追溯!$N$157=""),原始字段追溯!$A$157,"")</f>
        <v/>
      </c>
      <c r="B168" s="24" t="str">
        <f>IF(A168="","",原始字段追溯!$C$157&amp;"!"&amp;原始字段追溯!$D$157)</f>
        <v/>
      </c>
      <c r="C168" s="24" t="str">
        <f>IF(A168="","",原始字段追溯!$H$157)</f>
        <v/>
      </c>
      <c r="D168" s="24" t="str">
        <f t="shared" si="2"/>
        <v/>
      </c>
    </row>
    <row r="169" spans="1:4" x14ac:dyDescent="0.25">
      <c r="A169" s="24" t="str">
        <f>IF(AND(原始字段追溯!$E$158="字段",原始字段追溯!$N$158=""),原始字段追溯!$A$158,"")</f>
        <v/>
      </c>
      <c r="B169" s="24" t="str">
        <f>IF(A169="","",原始字段追溯!$C$158&amp;"!"&amp;原始字段追溯!$D$158)</f>
        <v/>
      </c>
      <c r="C169" s="24" t="str">
        <f>IF(A169="","",原始字段追溯!$H$158)</f>
        <v/>
      </c>
      <c r="D169" s="24" t="str">
        <f t="shared" si="2"/>
        <v/>
      </c>
    </row>
    <row r="170" spans="1:4" x14ac:dyDescent="0.25">
      <c r="A170" s="24" t="str">
        <f>IF(AND(原始字段追溯!$E$159="字段",原始字段追溯!$N$159=""),原始字段追溯!$A$159,"")</f>
        <v/>
      </c>
      <c r="B170" s="24" t="str">
        <f>IF(A170="","",原始字段追溯!$C$159&amp;"!"&amp;原始字段追溯!$D$159)</f>
        <v/>
      </c>
      <c r="C170" s="24" t="str">
        <f>IF(A170="","",原始字段追溯!$H$159)</f>
        <v/>
      </c>
      <c r="D170" s="24" t="str">
        <f t="shared" si="2"/>
        <v/>
      </c>
    </row>
    <row r="171" spans="1:4" x14ac:dyDescent="0.25">
      <c r="A171" s="24" t="str">
        <f>IF(AND(原始字段追溯!$E$160="字段",原始字段追溯!$N$160=""),原始字段追溯!$A$160,"")</f>
        <v/>
      </c>
      <c r="B171" s="24" t="str">
        <f>IF(A171="","",原始字段追溯!$C$160&amp;"!"&amp;原始字段追溯!$D$160)</f>
        <v/>
      </c>
      <c r="C171" s="24" t="str">
        <f>IF(A171="","",原始字段追溯!$H$160)</f>
        <v/>
      </c>
      <c r="D171" s="24" t="str">
        <f t="shared" si="2"/>
        <v/>
      </c>
    </row>
    <row r="172" spans="1:4" x14ac:dyDescent="0.25">
      <c r="A172" s="24" t="str">
        <f>IF(AND(原始字段追溯!$E$161="字段",原始字段追溯!$N$161=""),原始字段追溯!$A$161,"")</f>
        <v/>
      </c>
      <c r="B172" s="24" t="str">
        <f>IF(A172="","",原始字段追溯!$C$161&amp;"!"&amp;原始字段追溯!$D$161)</f>
        <v/>
      </c>
      <c r="C172" s="24" t="str">
        <f>IF(A172="","",原始字段追溯!$H$161)</f>
        <v/>
      </c>
      <c r="D172" s="24" t="str">
        <f t="shared" si="2"/>
        <v/>
      </c>
    </row>
    <row r="173" spans="1:4" x14ac:dyDescent="0.25">
      <c r="A173" s="24" t="str">
        <f>IF(AND(原始字段追溯!$E$162="字段",原始字段追溯!$N$162=""),原始字段追溯!$A$162,"")</f>
        <v/>
      </c>
      <c r="B173" s="24" t="str">
        <f>IF(A173="","",原始字段追溯!$C$162&amp;"!"&amp;原始字段追溯!$D$162)</f>
        <v/>
      </c>
      <c r="C173" s="24" t="str">
        <f>IF(A173="","",原始字段追溯!$H$162)</f>
        <v/>
      </c>
      <c r="D173" s="24" t="str">
        <f t="shared" si="2"/>
        <v/>
      </c>
    </row>
    <row r="174" spans="1:4" x14ac:dyDescent="0.25">
      <c r="A174" s="24" t="str">
        <f>IF(AND(原始字段追溯!$E$163="字段",原始字段追溯!$N$163=""),原始字段追溯!$A$163,"")</f>
        <v/>
      </c>
      <c r="B174" s="24" t="str">
        <f>IF(A174="","",原始字段追溯!$C$163&amp;"!"&amp;原始字段追溯!$D$163)</f>
        <v/>
      </c>
      <c r="C174" s="24" t="str">
        <f>IF(A174="","",原始字段追溯!$H$163)</f>
        <v/>
      </c>
      <c r="D174" s="24" t="str">
        <f t="shared" si="2"/>
        <v/>
      </c>
    </row>
    <row r="175" spans="1:4" x14ac:dyDescent="0.25">
      <c r="A175" s="24" t="str">
        <f>IF(AND(原始字段追溯!$E$164="字段",原始字段追溯!$N$164=""),原始字段追溯!$A$164,"")</f>
        <v/>
      </c>
      <c r="B175" s="24" t="str">
        <f>IF(A175="","",原始字段追溯!$C$164&amp;"!"&amp;原始字段追溯!$D$164)</f>
        <v/>
      </c>
      <c r="C175" s="24" t="str">
        <f>IF(A175="","",原始字段追溯!$H$164)</f>
        <v/>
      </c>
      <c r="D175" s="24" t="str">
        <f t="shared" si="2"/>
        <v/>
      </c>
    </row>
    <row r="176" spans="1:4" x14ac:dyDescent="0.25">
      <c r="A176" s="24" t="str">
        <f>IF(AND(原始字段追溯!$E$165="字段",原始字段追溯!$N$165=""),原始字段追溯!$A$165,"")</f>
        <v/>
      </c>
      <c r="B176" s="24" t="str">
        <f>IF(A176="","",原始字段追溯!$C$165&amp;"!"&amp;原始字段追溯!$D$165)</f>
        <v/>
      </c>
      <c r="C176" s="24" t="str">
        <f>IF(A176="","",原始字段追溯!$H$165)</f>
        <v/>
      </c>
      <c r="D176" s="24" t="str">
        <f t="shared" si="2"/>
        <v/>
      </c>
    </row>
    <row r="177" spans="1:4" x14ac:dyDescent="0.25">
      <c r="A177" s="24" t="str">
        <f>IF(AND(原始字段追溯!$E$166="字段",原始字段追溯!$N$166=""),原始字段追溯!$A$166,"")</f>
        <v/>
      </c>
      <c r="B177" s="24" t="str">
        <f>IF(A177="","",原始字段追溯!$C$166&amp;"!"&amp;原始字段追溯!$D$166)</f>
        <v/>
      </c>
      <c r="C177" s="24" t="str">
        <f>IF(A177="","",原始字段追溯!$H$166)</f>
        <v/>
      </c>
      <c r="D177" s="24" t="str">
        <f t="shared" si="2"/>
        <v/>
      </c>
    </row>
    <row r="178" spans="1:4" x14ac:dyDescent="0.25">
      <c r="A178" s="24" t="str">
        <f>IF(AND(原始字段追溯!$E$167="字段",原始字段追溯!$N$167=""),原始字段追溯!$A$167,"")</f>
        <v/>
      </c>
      <c r="B178" s="24" t="str">
        <f>IF(A178="","",原始字段追溯!$C$167&amp;"!"&amp;原始字段追溯!$D$167)</f>
        <v/>
      </c>
      <c r="C178" s="24" t="str">
        <f>IF(A178="","",原始字段追溯!$H$167)</f>
        <v/>
      </c>
      <c r="D178" s="24" t="str">
        <f t="shared" si="2"/>
        <v/>
      </c>
    </row>
    <row r="179" spans="1:4" x14ac:dyDescent="0.25">
      <c r="A179" s="24" t="str">
        <f>IF(AND(原始字段追溯!$E$168="字段",原始字段追溯!$N$168=""),原始字段追溯!$A$168,"")</f>
        <v/>
      </c>
      <c r="B179" s="24" t="str">
        <f>IF(A179="","",原始字段追溯!$C$168&amp;"!"&amp;原始字段追溯!$D$168)</f>
        <v/>
      </c>
      <c r="C179" s="24" t="str">
        <f>IF(A179="","",原始字段追溯!$H$168)</f>
        <v/>
      </c>
      <c r="D179" s="24" t="str">
        <f t="shared" si="2"/>
        <v/>
      </c>
    </row>
    <row r="180" spans="1:4" x14ac:dyDescent="0.25">
      <c r="A180" s="24" t="str">
        <f>IF(AND(原始字段追溯!$E$169="字段",原始字段追溯!$N$169=""),原始字段追溯!$A$169,"")</f>
        <v/>
      </c>
      <c r="B180" s="24" t="str">
        <f>IF(A180="","",原始字段追溯!$C$169&amp;"!"&amp;原始字段追溯!$D$169)</f>
        <v/>
      </c>
      <c r="C180" s="24" t="str">
        <f>IF(A180="","",原始字段追溯!$H$169)</f>
        <v/>
      </c>
      <c r="D180" s="24" t="str">
        <f t="shared" si="2"/>
        <v/>
      </c>
    </row>
    <row r="181" spans="1:4" x14ac:dyDescent="0.25">
      <c r="A181" s="24" t="str">
        <f>IF(AND(原始字段追溯!$E$170="字段",原始字段追溯!$N$170=""),原始字段追溯!$A$170,"")</f>
        <v/>
      </c>
      <c r="B181" s="24" t="str">
        <f>IF(A181="","",原始字段追溯!$C$170&amp;"!"&amp;原始字段追溯!$D$170)</f>
        <v/>
      </c>
      <c r="C181" s="24" t="str">
        <f>IF(A181="","",原始字段追溯!$H$170)</f>
        <v/>
      </c>
      <c r="D181" s="24" t="str">
        <f t="shared" si="2"/>
        <v/>
      </c>
    </row>
    <row r="182" spans="1:4" x14ac:dyDescent="0.25">
      <c r="A182" s="24" t="str">
        <f>IF(AND(原始字段追溯!$E$171="字段",原始字段追溯!$N$171=""),原始字段追溯!$A$171,"")</f>
        <v/>
      </c>
      <c r="B182" s="24" t="str">
        <f>IF(A182="","",原始字段追溯!$C$171&amp;"!"&amp;原始字段追溯!$D$171)</f>
        <v/>
      </c>
      <c r="C182" s="24" t="str">
        <f>IF(A182="","",原始字段追溯!$H$171)</f>
        <v/>
      </c>
      <c r="D182" s="24" t="str">
        <f t="shared" si="2"/>
        <v/>
      </c>
    </row>
    <row r="183" spans="1:4" x14ac:dyDescent="0.25">
      <c r="A183" s="24" t="str">
        <f>IF(AND(原始字段追溯!$E$172="字段",原始字段追溯!$N$172=""),原始字段追溯!$A$172,"")</f>
        <v/>
      </c>
      <c r="B183" s="24" t="str">
        <f>IF(A183="","",原始字段追溯!$C$172&amp;"!"&amp;原始字段追溯!$D$172)</f>
        <v/>
      </c>
      <c r="C183" s="24" t="str">
        <f>IF(A183="","",原始字段追溯!$H$172)</f>
        <v/>
      </c>
      <c r="D183" s="24" t="str">
        <f t="shared" si="2"/>
        <v/>
      </c>
    </row>
    <row r="184" spans="1:4" x14ac:dyDescent="0.25">
      <c r="A184" s="24" t="str">
        <f>IF(AND(原始字段追溯!$E$173="字段",原始字段追溯!$N$173=""),原始字段追溯!$A$173,"")</f>
        <v/>
      </c>
      <c r="B184" s="24" t="str">
        <f>IF(A184="","",原始字段追溯!$C$173&amp;"!"&amp;原始字段追溯!$D$173)</f>
        <v/>
      </c>
      <c r="C184" s="24" t="str">
        <f>IF(A184="","",原始字段追溯!$H$173)</f>
        <v/>
      </c>
      <c r="D184" s="24" t="str">
        <f t="shared" si="2"/>
        <v/>
      </c>
    </row>
    <row r="185" spans="1:4" x14ac:dyDescent="0.25">
      <c r="A185" s="24" t="str">
        <f>IF(AND(原始字段追溯!$E$174="字段",原始字段追溯!$N$174=""),原始字段追溯!$A$174,"")</f>
        <v/>
      </c>
      <c r="B185" s="24" t="str">
        <f>IF(A185="","",原始字段追溯!$C$174&amp;"!"&amp;原始字段追溯!$D$174)</f>
        <v/>
      </c>
      <c r="C185" s="24" t="str">
        <f>IF(A185="","",原始字段追溯!$H$174)</f>
        <v/>
      </c>
      <c r="D185" s="24" t="str">
        <f t="shared" si="2"/>
        <v/>
      </c>
    </row>
    <row r="186" spans="1:4" x14ac:dyDescent="0.25">
      <c r="A186" s="24" t="str">
        <f>IF(AND(原始字段追溯!$E$175="字段",原始字段追溯!$N$175=""),原始字段追溯!$A$175,"")</f>
        <v/>
      </c>
      <c r="B186" s="24" t="str">
        <f>IF(A186="","",原始字段追溯!$C$175&amp;"!"&amp;原始字段追溯!$D$175)</f>
        <v/>
      </c>
      <c r="C186" s="24" t="str">
        <f>IF(A186="","",原始字段追溯!$H$175)</f>
        <v/>
      </c>
      <c r="D186" s="24" t="str">
        <f t="shared" si="2"/>
        <v/>
      </c>
    </row>
    <row r="187" spans="1:4" x14ac:dyDescent="0.25">
      <c r="A187" s="24" t="str">
        <f>IF(AND(原始字段追溯!$E$176="字段",原始字段追溯!$N$176=""),原始字段追溯!$A$176,"")</f>
        <v/>
      </c>
      <c r="B187" s="24" t="str">
        <f>IF(A187="","",原始字段追溯!$C$176&amp;"!"&amp;原始字段追溯!$D$176)</f>
        <v/>
      </c>
      <c r="C187" s="24" t="str">
        <f>IF(A187="","",原始字段追溯!$H$176)</f>
        <v/>
      </c>
      <c r="D187" s="24" t="str">
        <f t="shared" si="2"/>
        <v/>
      </c>
    </row>
    <row r="188" spans="1:4" x14ac:dyDescent="0.25">
      <c r="A188" s="24" t="str">
        <f>IF(AND(原始字段追溯!$E$177="字段",原始字段追溯!$N$177=""),原始字段追溯!$A$177,"")</f>
        <v/>
      </c>
      <c r="B188" s="24" t="str">
        <f>IF(A188="","",原始字段追溯!$C$177&amp;"!"&amp;原始字段追溯!$D$177)</f>
        <v/>
      </c>
      <c r="C188" s="24" t="str">
        <f>IF(A188="","",原始字段追溯!$H$177)</f>
        <v/>
      </c>
      <c r="D188" s="24" t="str">
        <f t="shared" si="2"/>
        <v/>
      </c>
    </row>
    <row r="189" spans="1:4" x14ac:dyDescent="0.25">
      <c r="A189" s="24" t="str">
        <f>IF(AND(原始字段追溯!$E$178="字段",原始字段追溯!$N$178=""),原始字段追溯!$A$178,"")</f>
        <v/>
      </c>
      <c r="B189" s="24" t="str">
        <f>IF(A189="","",原始字段追溯!$C$178&amp;"!"&amp;原始字段追溯!$D$178)</f>
        <v/>
      </c>
      <c r="C189" s="24" t="str">
        <f>IF(A189="","",原始字段追溯!$H$178)</f>
        <v/>
      </c>
      <c r="D189" s="24" t="str">
        <f t="shared" si="2"/>
        <v/>
      </c>
    </row>
    <row r="190" spans="1:4" x14ac:dyDescent="0.25">
      <c r="A190" s="24" t="str">
        <f>IF(AND(原始字段追溯!$E$179="字段",原始字段追溯!$N$179=""),原始字段追溯!$A$179,"")</f>
        <v/>
      </c>
      <c r="B190" s="24" t="str">
        <f>IF(A190="","",原始字段追溯!$C$179&amp;"!"&amp;原始字段追溯!$D$179)</f>
        <v/>
      </c>
      <c r="C190" s="24" t="str">
        <f>IF(A190="","",原始字段追溯!$H$179)</f>
        <v/>
      </c>
      <c r="D190" s="24" t="str">
        <f t="shared" si="2"/>
        <v/>
      </c>
    </row>
    <row r="191" spans="1:4" x14ac:dyDescent="0.25">
      <c r="A191" s="24" t="str">
        <f>IF(AND(原始字段追溯!$E$180="字段",原始字段追溯!$N$180=""),原始字段追溯!$A$180,"")</f>
        <v/>
      </c>
      <c r="B191" s="24" t="str">
        <f>IF(A191="","",原始字段追溯!$C$180&amp;"!"&amp;原始字段追溯!$D$180)</f>
        <v/>
      </c>
      <c r="C191" s="24" t="str">
        <f>IF(A191="","",原始字段追溯!$H$180)</f>
        <v/>
      </c>
      <c r="D191" s="24" t="str">
        <f t="shared" si="2"/>
        <v/>
      </c>
    </row>
    <row r="192" spans="1:4" x14ac:dyDescent="0.25">
      <c r="A192" s="24" t="str">
        <f>IF(AND(原始字段追溯!$E$181="字段",原始字段追溯!$N$181=""),原始字段追溯!$A$181,"")</f>
        <v/>
      </c>
      <c r="B192" s="24" t="str">
        <f>IF(A192="","",原始字段追溯!$C$181&amp;"!"&amp;原始字段追溯!$D$181)</f>
        <v/>
      </c>
      <c r="C192" s="24" t="str">
        <f>IF(A192="","",原始字段追溯!$H$181)</f>
        <v/>
      </c>
      <c r="D192" s="24" t="str">
        <f t="shared" si="2"/>
        <v/>
      </c>
    </row>
    <row r="193" spans="1:4" x14ac:dyDescent="0.25">
      <c r="A193" s="24" t="str">
        <f>IF(AND(原始字段追溯!$E$182="字段",原始字段追溯!$N$182=""),原始字段追溯!$A$182,"")</f>
        <v/>
      </c>
      <c r="B193" s="24" t="str">
        <f>IF(A193="","",原始字段追溯!$C$182&amp;"!"&amp;原始字段追溯!$D$182)</f>
        <v/>
      </c>
      <c r="C193" s="24" t="str">
        <f>IF(A193="","",原始字段追溯!$H$182)</f>
        <v/>
      </c>
      <c r="D193" s="24" t="str">
        <f t="shared" si="2"/>
        <v/>
      </c>
    </row>
    <row r="194" spans="1:4" x14ac:dyDescent="0.25">
      <c r="A194" s="24" t="str">
        <f>IF(AND(原始字段追溯!$E$183="字段",原始字段追溯!$N$183=""),原始字段追溯!$A$183,"")</f>
        <v/>
      </c>
      <c r="B194" s="24" t="str">
        <f>IF(A194="","",原始字段追溯!$C$183&amp;"!"&amp;原始字段追溯!$D$183)</f>
        <v/>
      </c>
      <c r="C194" s="24" t="str">
        <f>IF(A194="","",原始字段追溯!$H$183)</f>
        <v/>
      </c>
      <c r="D194" s="24" t="str">
        <f t="shared" si="2"/>
        <v/>
      </c>
    </row>
    <row r="195" spans="1:4" x14ac:dyDescent="0.25">
      <c r="A195" s="24" t="str">
        <f>IF(AND(原始字段追溯!$E$184="字段",原始字段追溯!$N$184=""),原始字段追溯!$A$184,"")</f>
        <v/>
      </c>
      <c r="B195" s="24" t="str">
        <f>IF(A195="","",原始字段追溯!$C$184&amp;"!"&amp;原始字段追溯!$D$184)</f>
        <v/>
      </c>
      <c r="C195" s="24" t="str">
        <f>IF(A195="","",原始字段追溯!$H$184)</f>
        <v/>
      </c>
      <c r="D195" s="24" t="str">
        <f t="shared" si="2"/>
        <v/>
      </c>
    </row>
    <row r="196" spans="1:4" x14ac:dyDescent="0.25">
      <c r="A196" s="24" t="str">
        <f>IF(AND(原始字段追溯!$E$185="字段",原始字段追溯!$N$185=""),原始字段追溯!$A$185,"")</f>
        <v/>
      </c>
      <c r="B196" s="24" t="str">
        <f>IF(A196="","",原始字段追溯!$C$185&amp;"!"&amp;原始字段追溯!$D$185)</f>
        <v/>
      </c>
      <c r="C196" s="24" t="str">
        <f>IF(A196="","",原始字段追溯!$H$185)</f>
        <v/>
      </c>
      <c r="D196" s="24" t="str">
        <f t="shared" si="2"/>
        <v/>
      </c>
    </row>
    <row r="197" spans="1:4" x14ac:dyDescent="0.25">
      <c r="A197" s="24" t="str">
        <f>IF(AND(原始字段追溯!$E$186="字段",原始字段追溯!$N$186=""),原始字段追溯!$A$186,"")</f>
        <v/>
      </c>
      <c r="B197" s="24" t="str">
        <f>IF(A197="","",原始字段追溯!$C$186&amp;"!"&amp;原始字段追溯!$D$186)</f>
        <v/>
      </c>
      <c r="C197" s="24" t="str">
        <f>IF(A197="","",原始字段追溯!$H$186)</f>
        <v/>
      </c>
      <c r="D197" s="24" t="str">
        <f t="shared" si="2"/>
        <v/>
      </c>
    </row>
    <row r="198" spans="1:4" x14ac:dyDescent="0.25">
      <c r="A198" s="24" t="str">
        <f>IF(AND(原始字段追溯!$E$187="字段",原始字段追溯!$N$187=""),原始字段追溯!$A$187,"")</f>
        <v/>
      </c>
      <c r="B198" s="24" t="str">
        <f>IF(A198="","",原始字段追溯!$C$187&amp;"!"&amp;原始字段追溯!$D$187)</f>
        <v/>
      </c>
      <c r="C198" s="24" t="str">
        <f>IF(A198="","",原始字段追溯!$H$187)</f>
        <v/>
      </c>
      <c r="D198" s="24" t="str">
        <f t="shared" si="2"/>
        <v/>
      </c>
    </row>
    <row r="199" spans="1:4" x14ac:dyDescent="0.25">
      <c r="A199" s="24" t="str">
        <f>IF(AND(原始字段追溯!$E$188="字段",原始字段追溯!$N$188=""),原始字段追溯!$A$188,"")</f>
        <v/>
      </c>
      <c r="B199" s="24" t="str">
        <f>IF(A199="","",原始字段追溯!$C$188&amp;"!"&amp;原始字段追溯!$D$188)</f>
        <v/>
      </c>
      <c r="C199" s="24" t="str">
        <f>IF(A199="","",原始字段追溯!$H$188)</f>
        <v/>
      </c>
      <c r="D199" s="24" t="str">
        <f t="shared" si="2"/>
        <v/>
      </c>
    </row>
    <row r="200" spans="1:4" x14ac:dyDescent="0.25">
      <c r="A200" s="24" t="str">
        <f>IF(AND(原始字段追溯!$E$189="字段",原始字段追溯!$N$189=""),原始字段追溯!$A$189,"")</f>
        <v/>
      </c>
      <c r="B200" s="24" t="str">
        <f>IF(A200="","",原始字段追溯!$C$189&amp;"!"&amp;原始字段追溯!$D$189)</f>
        <v/>
      </c>
      <c r="C200" s="24" t="str">
        <f>IF(A200="","",原始字段追溯!$H$189)</f>
        <v/>
      </c>
      <c r="D200" s="24" t="str">
        <f t="shared" si="2"/>
        <v/>
      </c>
    </row>
    <row r="201" spans="1:4" x14ac:dyDescent="0.25">
      <c r="A201" s="24" t="str">
        <f>IF(AND(原始字段追溯!$E$190="字段",原始字段追溯!$N$190=""),原始字段追溯!$A$190,"")</f>
        <v/>
      </c>
      <c r="B201" s="24" t="str">
        <f>IF(A201="","",原始字段追溯!$C$190&amp;"!"&amp;原始字段追溯!$D$190)</f>
        <v/>
      </c>
      <c r="C201" s="24" t="str">
        <f>IF(A201="","",原始字段追溯!$H$190)</f>
        <v/>
      </c>
      <c r="D201" s="24" t="str">
        <f t="shared" si="2"/>
        <v/>
      </c>
    </row>
    <row r="202" spans="1:4" x14ac:dyDescent="0.25">
      <c r="A202" s="24" t="str">
        <f>IF(AND(原始字段追溯!$E$191="字段",原始字段追溯!$N$191=""),原始字段追溯!$A$191,"")</f>
        <v/>
      </c>
      <c r="B202" s="24" t="str">
        <f>IF(A202="","",原始字段追溯!$C$191&amp;"!"&amp;原始字段追溯!$D$191)</f>
        <v/>
      </c>
      <c r="C202" s="24" t="str">
        <f>IF(A202="","",原始字段追溯!$H$191)</f>
        <v/>
      </c>
      <c r="D202" s="24" t="str">
        <f t="shared" si="2"/>
        <v/>
      </c>
    </row>
    <row r="203" spans="1:4" x14ac:dyDescent="0.25">
      <c r="A203" s="24" t="str">
        <f>IF(AND(原始字段追溯!$E$192="字段",原始字段追溯!$N$192=""),原始字段追溯!$A$192,"")</f>
        <v/>
      </c>
      <c r="B203" s="24" t="str">
        <f>IF(A203="","",原始字段追溯!$C$192&amp;"!"&amp;原始字段追溯!$D$192)</f>
        <v/>
      </c>
      <c r="C203" s="24" t="str">
        <f>IF(A203="","",原始字段追溯!$H$192)</f>
        <v/>
      </c>
      <c r="D203" s="24" t="str">
        <f t="shared" si="2"/>
        <v/>
      </c>
    </row>
    <row r="204" spans="1:4" x14ac:dyDescent="0.25">
      <c r="A204" s="24" t="str">
        <f>IF(AND(原始字段追溯!$E$193="字段",原始字段追溯!$N$193=""),原始字段追溯!$A$193,"")</f>
        <v/>
      </c>
      <c r="B204" s="24" t="str">
        <f>IF(A204="","",原始字段追溯!$C$193&amp;"!"&amp;原始字段追溯!$D$193)</f>
        <v/>
      </c>
      <c r="C204" s="24" t="str">
        <f>IF(A204="","",原始字段追溯!$H$193)</f>
        <v/>
      </c>
      <c r="D204" s="24" t="str">
        <f t="shared" si="2"/>
        <v/>
      </c>
    </row>
    <row r="205" spans="1:4" x14ac:dyDescent="0.25">
      <c r="A205" s="24" t="str">
        <f>IF(AND(原始字段追溯!$E$194="字段",原始字段追溯!$N$194=""),原始字段追溯!$A$194,"")</f>
        <v/>
      </c>
      <c r="B205" s="24" t="str">
        <f>IF(A205="","",原始字段追溯!$C$194&amp;"!"&amp;原始字段追溯!$D$194)</f>
        <v/>
      </c>
      <c r="C205" s="24" t="str">
        <f>IF(A205="","",原始字段追溯!$H$194)</f>
        <v/>
      </c>
      <c r="D205" s="24" t="str">
        <f t="shared" si="2"/>
        <v/>
      </c>
    </row>
    <row r="206" spans="1:4" x14ac:dyDescent="0.25">
      <c r="A206" s="24" t="str">
        <f>IF(AND(原始字段追溯!$E$195="字段",原始字段追溯!$N$195=""),原始字段追溯!$A$195,"")</f>
        <v/>
      </c>
      <c r="B206" s="24" t="str">
        <f>IF(A206="","",原始字段追溯!$C$195&amp;"!"&amp;原始字段追溯!$D$195)</f>
        <v/>
      </c>
      <c r="C206" s="24" t="str">
        <f>IF(A206="","",原始字段追溯!$H$195)</f>
        <v/>
      </c>
      <c r="D206" s="24" t="str">
        <f t="shared" si="2"/>
        <v/>
      </c>
    </row>
    <row r="207" spans="1:4" x14ac:dyDescent="0.25">
      <c r="A207" s="24" t="str">
        <f>IF(AND(原始字段追溯!$E$196="字段",原始字段追溯!$N$196=""),原始字段追溯!$A$196,"")</f>
        <v/>
      </c>
      <c r="B207" s="24" t="str">
        <f>IF(A207="","",原始字段追溯!$C$196&amp;"!"&amp;原始字段追溯!$D$196)</f>
        <v/>
      </c>
      <c r="C207" s="24" t="str">
        <f>IF(A207="","",原始字段追溯!$H$196)</f>
        <v/>
      </c>
      <c r="D207" s="24" t="str">
        <f t="shared" si="2"/>
        <v/>
      </c>
    </row>
    <row r="208" spans="1:4" x14ac:dyDescent="0.25">
      <c r="A208" s="24" t="str">
        <f>IF(AND(原始字段追溯!$E$197="字段",原始字段追溯!$N$197=""),原始字段追溯!$A$197,"")</f>
        <v/>
      </c>
      <c r="B208" s="24" t="str">
        <f>IF(A208="","",原始字段追溯!$C$197&amp;"!"&amp;原始字段追溯!$D$197)</f>
        <v/>
      </c>
      <c r="C208" s="24" t="str">
        <f>IF(A208="","",原始字段追溯!$H$197)</f>
        <v/>
      </c>
      <c r="D208" s="24" t="str">
        <f t="shared" ref="D208:D266" si="3">IF(A208="","","正式源字段未映射")</f>
        <v/>
      </c>
    </row>
    <row r="209" spans="1:4" x14ac:dyDescent="0.25">
      <c r="A209" s="24" t="str">
        <f>IF(AND(原始字段追溯!$E$198="字段",原始字段追溯!$N$198=""),原始字段追溯!$A$198,"")</f>
        <v/>
      </c>
      <c r="B209" s="24" t="str">
        <f>IF(A209="","",原始字段追溯!$C$198&amp;"!"&amp;原始字段追溯!$D$198)</f>
        <v/>
      </c>
      <c r="C209" s="24" t="str">
        <f>IF(A209="","",原始字段追溯!$H$198)</f>
        <v/>
      </c>
      <c r="D209" s="24" t="str">
        <f t="shared" si="3"/>
        <v/>
      </c>
    </row>
    <row r="210" spans="1:4" x14ac:dyDescent="0.25">
      <c r="A210" s="24" t="str">
        <f>IF(AND(原始字段追溯!$E$199="字段",原始字段追溯!$N$199=""),原始字段追溯!$A$199,"")</f>
        <v/>
      </c>
      <c r="B210" s="24" t="str">
        <f>IF(A210="","",原始字段追溯!$C$199&amp;"!"&amp;原始字段追溯!$D$199)</f>
        <v/>
      </c>
      <c r="C210" s="24" t="str">
        <f>IF(A210="","",原始字段追溯!$H$199)</f>
        <v/>
      </c>
      <c r="D210" s="24" t="str">
        <f t="shared" si="3"/>
        <v/>
      </c>
    </row>
    <row r="211" spans="1:4" x14ac:dyDescent="0.25">
      <c r="A211" s="24" t="str">
        <f>IF(AND(原始字段追溯!$E$200="字段",原始字段追溯!$N$200=""),原始字段追溯!$A$200,"")</f>
        <v/>
      </c>
      <c r="B211" s="24" t="str">
        <f>IF(A211="","",原始字段追溯!$C$200&amp;"!"&amp;原始字段追溯!$D$200)</f>
        <v/>
      </c>
      <c r="C211" s="24" t="str">
        <f>IF(A211="","",原始字段追溯!$H$200)</f>
        <v/>
      </c>
      <c r="D211" s="24" t="str">
        <f t="shared" si="3"/>
        <v/>
      </c>
    </row>
    <row r="212" spans="1:4" x14ac:dyDescent="0.25">
      <c r="A212" s="24" t="str">
        <f>IF(AND(原始字段追溯!$E$201="字段",原始字段追溯!$N$201=""),原始字段追溯!$A$201,"")</f>
        <v/>
      </c>
      <c r="B212" s="24" t="str">
        <f>IF(A212="","",原始字段追溯!$C$201&amp;"!"&amp;原始字段追溯!$D$201)</f>
        <v/>
      </c>
      <c r="C212" s="24" t="str">
        <f>IF(A212="","",原始字段追溯!$H$201)</f>
        <v/>
      </c>
      <c r="D212" s="24" t="str">
        <f t="shared" si="3"/>
        <v/>
      </c>
    </row>
    <row r="213" spans="1:4" x14ac:dyDescent="0.25">
      <c r="A213" s="24" t="str">
        <f>IF(AND(原始字段追溯!$E$202="字段",原始字段追溯!$N$202=""),原始字段追溯!$A$202,"")</f>
        <v/>
      </c>
      <c r="B213" s="24" t="str">
        <f>IF(A213="","",原始字段追溯!$C$202&amp;"!"&amp;原始字段追溯!$D$202)</f>
        <v/>
      </c>
      <c r="C213" s="24" t="str">
        <f>IF(A213="","",原始字段追溯!$H$202)</f>
        <v/>
      </c>
      <c r="D213" s="24" t="str">
        <f t="shared" si="3"/>
        <v/>
      </c>
    </row>
    <row r="214" spans="1:4" x14ac:dyDescent="0.25">
      <c r="A214" s="24" t="str">
        <f>IF(AND(原始字段追溯!$E$203="字段",原始字段追溯!$N$203=""),原始字段追溯!$A$203,"")</f>
        <v/>
      </c>
      <c r="B214" s="24" t="str">
        <f>IF(A214="","",原始字段追溯!$C$203&amp;"!"&amp;原始字段追溯!$D$203)</f>
        <v/>
      </c>
      <c r="C214" s="24" t="str">
        <f>IF(A214="","",原始字段追溯!$H$203)</f>
        <v/>
      </c>
      <c r="D214" s="24" t="str">
        <f t="shared" si="3"/>
        <v/>
      </c>
    </row>
    <row r="215" spans="1:4" x14ac:dyDescent="0.25">
      <c r="A215" s="24" t="str">
        <f>IF(AND(原始字段追溯!$E$204="字段",原始字段追溯!$N$204=""),原始字段追溯!$A$204,"")</f>
        <v/>
      </c>
      <c r="B215" s="24" t="str">
        <f>IF(A215="","",原始字段追溯!$C$204&amp;"!"&amp;原始字段追溯!$D$204)</f>
        <v/>
      </c>
      <c r="C215" s="24" t="str">
        <f>IF(A215="","",原始字段追溯!$H$204)</f>
        <v/>
      </c>
      <c r="D215" s="24" t="str">
        <f t="shared" si="3"/>
        <v/>
      </c>
    </row>
    <row r="216" spans="1:4" x14ac:dyDescent="0.25">
      <c r="A216" s="24" t="str">
        <f>IF(AND(原始字段追溯!$E$205="字段",原始字段追溯!$N$205=""),原始字段追溯!$A$205,"")</f>
        <v/>
      </c>
      <c r="B216" s="24" t="str">
        <f>IF(A216="","",原始字段追溯!$C$205&amp;"!"&amp;原始字段追溯!$D$205)</f>
        <v/>
      </c>
      <c r="C216" s="24" t="str">
        <f>IF(A216="","",原始字段追溯!$H$205)</f>
        <v/>
      </c>
      <c r="D216" s="24" t="str">
        <f t="shared" si="3"/>
        <v/>
      </c>
    </row>
    <row r="217" spans="1:4" x14ac:dyDescent="0.25">
      <c r="A217" s="24" t="str">
        <f>IF(AND(原始字段追溯!$E$206="字段",原始字段追溯!$N$206=""),原始字段追溯!$A$206,"")</f>
        <v/>
      </c>
      <c r="B217" s="24" t="str">
        <f>IF(A217="","",原始字段追溯!$C$206&amp;"!"&amp;原始字段追溯!$D$206)</f>
        <v/>
      </c>
      <c r="C217" s="24" t="str">
        <f>IF(A217="","",原始字段追溯!$H$206)</f>
        <v/>
      </c>
      <c r="D217" s="24" t="str">
        <f t="shared" si="3"/>
        <v/>
      </c>
    </row>
    <row r="218" spans="1:4" x14ac:dyDescent="0.25">
      <c r="A218" s="24" t="str">
        <f>IF(AND(原始字段追溯!$E$207="字段",原始字段追溯!$N$207=""),原始字段追溯!$A$207,"")</f>
        <v/>
      </c>
      <c r="B218" s="24" t="str">
        <f>IF(A218="","",原始字段追溯!$C$207&amp;"!"&amp;原始字段追溯!$D$207)</f>
        <v/>
      </c>
      <c r="C218" s="24" t="str">
        <f>IF(A218="","",原始字段追溯!$H$207)</f>
        <v/>
      </c>
      <c r="D218" s="24" t="str">
        <f t="shared" si="3"/>
        <v/>
      </c>
    </row>
    <row r="219" spans="1:4" x14ac:dyDescent="0.25">
      <c r="A219" s="24" t="str">
        <f>IF(AND(原始字段追溯!$E$208="字段",原始字段追溯!$N$208=""),原始字段追溯!$A$208,"")</f>
        <v/>
      </c>
      <c r="B219" s="24" t="str">
        <f>IF(A219="","",原始字段追溯!$C$208&amp;"!"&amp;原始字段追溯!$D$208)</f>
        <v/>
      </c>
      <c r="C219" s="24" t="str">
        <f>IF(A219="","",原始字段追溯!$H$208)</f>
        <v/>
      </c>
      <c r="D219" s="24" t="str">
        <f t="shared" si="3"/>
        <v/>
      </c>
    </row>
    <row r="220" spans="1:4" x14ac:dyDescent="0.25">
      <c r="A220" s="24" t="str">
        <f>IF(AND(原始字段追溯!$E$209="字段",原始字段追溯!$N$209=""),原始字段追溯!$A$209,"")</f>
        <v/>
      </c>
      <c r="B220" s="24" t="str">
        <f>IF(A220="","",原始字段追溯!$C$209&amp;"!"&amp;原始字段追溯!$D$209)</f>
        <v/>
      </c>
      <c r="C220" s="24" t="str">
        <f>IF(A220="","",原始字段追溯!$H$209)</f>
        <v/>
      </c>
      <c r="D220" s="24" t="str">
        <f t="shared" si="3"/>
        <v/>
      </c>
    </row>
    <row r="221" spans="1:4" x14ac:dyDescent="0.25">
      <c r="A221" s="24" t="str">
        <f>IF(AND(原始字段追溯!$E$210="字段",原始字段追溯!$N$210=""),原始字段追溯!$A$210,"")</f>
        <v/>
      </c>
      <c r="B221" s="24" t="str">
        <f>IF(A221="","",原始字段追溯!$C$210&amp;"!"&amp;原始字段追溯!$D$210)</f>
        <v/>
      </c>
      <c r="C221" s="24" t="str">
        <f>IF(A221="","",原始字段追溯!$H$210)</f>
        <v/>
      </c>
      <c r="D221" s="24" t="str">
        <f t="shared" si="3"/>
        <v/>
      </c>
    </row>
    <row r="222" spans="1:4" x14ac:dyDescent="0.25">
      <c r="A222" s="24" t="str">
        <f>IF(AND(原始字段追溯!$E$211="字段",原始字段追溯!$N$211=""),原始字段追溯!$A$211,"")</f>
        <v/>
      </c>
      <c r="B222" s="24" t="str">
        <f>IF(A222="","",原始字段追溯!$C$211&amp;"!"&amp;原始字段追溯!$D$211)</f>
        <v/>
      </c>
      <c r="C222" s="24" t="str">
        <f>IF(A222="","",原始字段追溯!$H$211)</f>
        <v/>
      </c>
      <c r="D222" s="24" t="str">
        <f t="shared" si="3"/>
        <v/>
      </c>
    </row>
    <row r="223" spans="1:4" x14ac:dyDescent="0.25">
      <c r="A223" s="24" t="str">
        <f>IF(AND(原始字段追溯!$E$212="字段",原始字段追溯!$N$212=""),原始字段追溯!$A$212,"")</f>
        <v/>
      </c>
      <c r="B223" s="24" t="str">
        <f>IF(A223="","",原始字段追溯!$C$212&amp;"!"&amp;原始字段追溯!$D$212)</f>
        <v/>
      </c>
      <c r="C223" s="24" t="str">
        <f>IF(A223="","",原始字段追溯!$H$212)</f>
        <v/>
      </c>
      <c r="D223" s="24" t="str">
        <f t="shared" si="3"/>
        <v/>
      </c>
    </row>
    <row r="224" spans="1:4" x14ac:dyDescent="0.25">
      <c r="A224" s="24" t="str">
        <f>IF(AND(原始字段追溯!$E$213="字段",原始字段追溯!$N$213=""),原始字段追溯!$A$213,"")</f>
        <v/>
      </c>
      <c r="B224" s="24" t="str">
        <f>IF(A224="","",原始字段追溯!$C$213&amp;"!"&amp;原始字段追溯!$D$213)</f>
        <v/>
      </c>
      <c r="C224" s="24" t="str">
        <f>IF(A224="","",原始字段追溯!$H$213)</f>
        <v/>
      </c>
      <c r="D224" s="24" t="str">
        <f t="shared" si="3"/>
        <v/>
      </c>
    </row>
    <row r="225" spans="1:4" x14ac:dyDescent="0.25">
      <c r="A225" s="24" t="str">
        <f>IF(AND(原始字段追溯!$E$214="字段",原始字段追溯!$N$214=""),原始字段追溯!$A$214,"")</f>
        <v/>
      </c>
      <c r="B225" s="24" t="str">
        <f>IF(A225="","",原始字段追溯!$C$214&amp;"!"&amp;原始字段追溯!$D$214)</f>
        <v/>
      </c>
      <c r="C225" s="24" t="str">
        <f>IF(A225="","",原始字段追溯!$H$214)</f>
        <v/>
      </c>
      <c r="D225" s="24" t="str">
        <f t="shared" si="3"/>
        <v/>
      </c>
    </row>
    <row r="226" spans="1:4" x14ac:dyDescent="0.25">
      <c r="A226" s="24" t="str">
        <f>IF(AND(原始字段追溯!$E$215="字段",原始字段追溯!$N$215=""),原始字段追溯!$A$215,"")</f>
        <v/>
      </c>
      <c r="B226" s="24" t="str">
        <f>IF(A226="","",原始字段追溯!$C$215&amp;"!"&amp;原始字段追溯!$D$215)</f>
        <v/>
      </c>
      <c r="C226" s="24" t="str">
        <f>IF(A226="","",原始字段追溯!$H$215)</f>
        <v/>
      </c>
      <c r="D226" s="24" t="str">
        <f t="shared" si="3"/>
        <v/>
      </c>
    </row>
    <row r="227" spans="1:4" x14ac:dyDescent="0.25">
      <c r="A227" s="24" t="str">
        <f>IF(AND(原始字段追溯!$E$216="字段",原始字段追溯!$N$216=""),原始字段追溯!$A$216,"")</f>
        <v/>
      </c>
      <c r="B227" s="24" t="str">
        <f>IF(A227="","",原始字段追溯!$C$216&amp;"!"&amp;原始字段追溯!$D$216)</f>
        <v/>
      </c>
      <c r="C227" s="24" t="str">
        <f>IF(A227="","",原始字段追溯!$H$216)</f>
        <v/>
      </c>
      <c r="D227" s="24" t="str">
        <f t="shared" si="3"/>
        <v/>
      </c>
    </row>
    <row r="228" spans="1:4" x14ac:dyDescent="0.25">
      <c r="A228" s="24" t="str">
        <f>IF(AND(原始字段追溯!$E$217="字段",原始字段追溯!$N$217=""),原始字段追溯!$A$217,"")</f>
        <v/>
      </c>
      <c r="B228" s="24" t="str">
        <f>IF(A228="","",原始字段追溯!$C$217&amp;"!"&amp;原始字段追溯!$D$217)</f>
        <v/>
      </c>
      <c r="C228" s="24" t="str">
        <f>IF(A228="","",原始字段追溯!$H$217)</f>
        <v/>
      </c>
      <c r="D228" s="24" t="str">
        <f t="shared" si="3"/>
        <v/>
      </c>
    </row>
    <row r="229" spans="1:4" x14ac:dyDescent="0.25">
      <c r="A229" s="24" t="str">
        <f>IF(AND(原始字段追溯!$E$218="字段",原始字段追溯!$N$218=""),原始字段追溯!$A$218,"")</f>
        <v/>
      </c>
      <c r="B229" s="24" t="str">
        <f>IF(A229="","",原始字段追溯!$C$218&amp;"!"&amp;原始字段追溯!$D$218)</f>
        <v/>
      </c>
      <c r="C229" s="24" t="str">
        <f>IF(A229="","",原始字段追溯!$H$218)</f>
        <v/>
      </c>
      <c r="D229" s="24" t="str">
        <f t="shared" si="3"/>
        <v/>
      </c>
    </row>
    <row r="230" spans="1:4" x14ac:dyDescent="0.25">
      <c r="A230" s="24" t="str">
        <f>IF(AND(原始字段追溯!$E$219="字段",原始字段追溯!$N$219=""),原始字段追溯!$A$219,"")</f>
        <v/>
      </c>
      <c r="B230" s="24" t="str">
        <f>IF(A230="","",原始字段追溯!$C$219&amp;"!"&amp;原始字段追溯!$D$219)</f>
        <v/>
      </c>
      <c r="C230" s="24" t="str">
        <f>IF(A230="","",原始字段追溯!$H$219)</f>
        <v/>
      </c>
      <c r="D230" s="24" t="str">
        <f t="shared" si="3"/>
        <v/>
      </c>
    </row>
    <row r="231" spans="1:4" x14ac:dyDescent="0.25">
      <c r="A231" s="24" t="str">
        <f>IF(AND(原始字段追溯!$E$220="字段",原始字段追溯!$N$220=""),原始字段追溯!$A$220,"")</f>
        <v/>
      </c>
      <c r="B231" s="24" t="str">
        <f>IF(A231="","",原始字段追溯!$C$220&amp;"!"&amp;原始字段追溯!$D$220)</f>
        <v/>
      </c>
      <c r="C231" s="24" t="str">
        <f>IF(A231="","",原始字段追溯!$H$220)</f>
        <v/>
      </c>
      <c r="D231" s="24" t="str">
        <f t="shared" si="3"/>
        <v/>
      </c>
    </row>
    <row r="232" spans="1:4" x14ac:dyDescent="0.25">
      <c r="A232" s="24" t="str">
        <f>IF(AND(原始字段追溯!$E$221="字段",原始字段追溯!$N$221=""),原始字段追溯!$A$221,"")</f>
        <v/>
      </c>
      <c r="B232" s="24" t="str">
        <f>IF(A232="","",原始字段追溯!$C$221&amp;"!"&amp;原始字段追溯!$D$221)</f>
        <v/>
      </c>
      <c r="C232" s="24" t="str">
        <f>IF(A232="","",原始字段追溯!$H$221)</f>
        <v/>
      </c>
      <c r="D232" s="24" t="str">
        <f t="shared" si="3"/>
        <v/>
      </c>
    </row>
    <row r="233" spans="1:4" x14ac:dyDescent="0.25">
      <c r="A233" s="24" t="str">
        <f>IF(AND(原始字段追溯!$E$222="字段",原始字段追溯!$N$222=""),原始字段追溯!$A$222,"")</f>
        <v/>
      </c>
      <c r="B233" s="24" t="str">
        <f>IF(A233="","",原始字段追溯!$C$222&amp;"!"&amp;原始字段追溯!$D$222)</f>
        <v/>
      </c>
      <c r="C233" s="24" t="str">
        <f>IF(A233="","",原始字段追溯!$H$222)</f>
        <v/>
      </c>
      <c r="D233" s="24" t="str">
        <f t="shared" si="3"/>
        <v/>
      </c>
    </row>
    <row r="234" spans="1:4" x14ac:dyDescent="0.25">
      <c r="A234" s="24" t="str">
        <f>IF(AND(原始字段追溯!$E$223="字段",原始字段追溯!$N$223=""),原始字段追溯!$A$223,"")</f>
        <v/>
      </c>
      <c r="B234" s="24" t="str">
        <f>IF(A234="","",原始字段追溯!$C$223&amp;"!"&amp;原始字段追溯!$D$223)</f>
        <v/>
      </c>
      <c r="C234" s="24" t="str">
        <f>IF(A234="","",原始字段追溯!$H$223)</f>
        <v/>
      </c>
      <c r="D234" s="24" t="str">
        <f t="shared" si="3"/>
        <v/>
      </c>
    </row>
    <row r="235" spans="1:4" x14ac:dyDescent="0.25">
      <c r="A235" s="24" t="str">
        <f>IF(AND(原始字段追溯!$E$224="字段",原始字段追溯!$N$224=""),原始字段追溯!$A$224,"")</f>
        <v/>
      </c>
      <c r="B235" s="24" t="str">
        <f>IF(A235="","",原始字段追溯!$C$224&amp;"!"&amp;原始字段追溯!$D$224)</f>
        <v/>
      </c>
      <c r="C235" s="24" t="str">
        <f>IF(A235="","",原始字段追溯!$H$224)</f>
        <v/>
      </c>
      <c r="D235" s="24" t="str">
        <f t="shared" si="3"/>
        <v/>
      </c>
    </row>
    <row r="236" spans="1:4" x14ac:dyDescent="0.25">
      <c r="A236" s="24" t="str">
        <f>IF(AND(原始字段追溯!$E$225="字段",原始字段追溯!$N$225=""),原始字段追溯!$A$225,"")</f>
        <v/>
      </c>
      <c r="B236" s="24" t="str">
        <f>IF(A236="","",原始字段追溯!$C$225&amp;"!"&amp;原始字段追溯!$D$225)</f>
        <v/>
      </c>
      <c r="C236" s="24" t="str">
        <f>IF(A236="","",原始字段追溯!$H$225)</f>
        <v/>
      </c>
      <c r="D236" s="24" t="str">
        <f t="shared" si="3"/>
        <v/>
      </c>
    </row>
    <row r="237" spans="1:4" x14ac:dyDescent="0.25">
      <c r="A237" s="24" t="str">
        <f>IF(AND(原始字段追溯!$E$226="字段",原始字段追溯!$N$226=""),原始字段追溯!$A$226,"")</f>
        <v/>
      </c>
      <c r="B237" s="24" t="str">
        <f>IF(A237="","",原始字段追溯!$C$226&amp;"!"&amp;原始字段追溯!$D$226)</f>
        <v/>
      </c>
      <c r="C237" s="24" t="str">
        <f>IF(A237="","",原始字段追溯!$H$226)</f>
        <v/>
      </c>
      <c r="D237" s="24" t="str">
        <f t="shared" si="3"/>
        <v/>
      </c>
    </row>
    <row r="238" spans="1:4" x14ac:dyDescent="0.25">
      <c r="A238" s="24" t="str">
        <f>IF(AND(原始字段追溯!$E$227="字段",原始字段追溯!$N$227=""),原始字段追溯!$A$227,"")</f>
        <v/>
      </c>
      <c r="B238" s="24" t="str">
        <f>IF(A238="","",原始字段追溯!$C$227&amp;"!"&amp;原始字段追溯!$D$227)</f>
        <v/>
      </c>
      <c r="C238" s="24" t="str">
        <f>IF(A238="","",原始字段追溯!$H$227)</f>
        <v/>
      </c>
      <c r="D238" s="24" t="str">
        <f t="shared" si="3"/>
        <v/>
      </c>
    </row>
    <row r="239" spans="1:4" x14ac:dyDescent="0.25">
      <c r="A239" s="24" t="str">
        <f>IF(AND(原始字段追溯!$E$228="字段",原始字段追溯!$N$228=""),原始字段追溯!$A$228,"")</f>
        <v/>
      </c>
      <c r="B239" s="24" t="str">
        <f>IF(A239="","",原始字段追溯!$C$228&amp;"!"&amp;原始字段追溯!$D$228)</f>
        <v/>
      </c>
      <c r="C239" s="24" t="str">
        <f>IF(A239="","",原始字段追溯!$H$228)</f>
        <v/>
      </c>
      <c r="D239" s="24" t="str">
        <f t="shared" si="3"/>
        <v/>
      </c>
    </row>
    <row r="240" spans="1:4" x14ac:dyDescent="0.25">
      <c r="A240" s="24" t="str">
        <f>IF(AND(原始字段追溯!$E$229="字段",原始字段追溯!$N$229=""),原始字段追溯!$A$229,"")</f>
        <v/>
      </c>
      <c r="B240" s="24" t="str">
        <f>IF(A240="","",原始字段追溯!$C$229&amp;"!"&amp;原始字段追溯!$D$229)</f>
        <v/>
      </c>
      <c r="C240" s="24" t="str">
        <f>IF(A240="","",原始字段追溯!$H$229)</f>
        <v/>
      </c>
      <c r="D240" s="24" t="str">
        <f t="shared" si="3"/>
        <v/>
      </c>
    </row>
    <row r="241" spans="1:4" x14ac:dyDescent="0.25">
      <c r="A241" s="24" t="str">
        <f>IF(AND(原始字段追溯!$E$230="字段",原始字段追溯!$N$230=""),原始字段追溯!$A$230,"")</f>
        <v/>
      </c>
      <c r="B241" s="24" t="str">
        <f>IF(A241="","",原始字段追溯!$C$230&amp;"!"&amp;原始字段追溯!$D$230)</f>
        <v/>
      </c>
      <c r="C241" s="24" t="str">
        <f>IF(A241="","",原始字段追溯!$H$230)</f>
        <v/>
      </c>
      <c r="D241" s="24" t="str">
        <f t="shared" si="3"/>
        <v/>
      </c>
    </row>
    <row r="242" spans="1:4" x14ac:dyDescent="0.25">
      <c r="A242" s="24" t="str">
        <f>IF(AND(原始字段追溯!$E$231="字段",原始字段追溯!$N$231=""),原始字段追溯!$A$231,"")</f>
        <v/>
      </c>
      <c r="B242" s="24" t="str">
        <f>IF(A242="","",原始字段追溯!$C$231&amp;"!"&amp;原始字段追溯!$D$231)</f>
        <v/>
      </c>
      <c r="C242" s="24" t="str">
        <f>IF(A242="","",原始字段追溯!$H$231)</f>
        <v/>
      </c>
      <c r="D242" s="24" t="str">
        <f t="shared" si="3"/>
        <v/>
      </c>
    </row>
    <row r="243" spans="1:4" x14ac:dyDescent="0.25">
      <c r="A243" s="24" t="str">
        <f>IF(AND(原始字段追溯!$E$232="字段",原始字段追溯!$N$232=""),原始字段追溯!$A$232,"")</f>
        <v/>
      </c>
      <c r="B243" s="24" t="str">
        <f>IF(A243="","",原始字段追溯!$C$232&amp;"!"&amp;原始字段追溯!$D$232)</f>
        <v/>
      </c>
      <c r="C243" s="24" t="str">
        <f>IF(A243="","",原始字段追溯!$H$232)</f>
        <v/>
      </c>
      <c r="D243" s="24" t="str">
        <f t="shared" si="3"/>
        <v/>
      </c>
    </row>
    <row r="244" spans="1:4" x14ac:dyDescent="0.25">
      <c r="A244" s="24" t="str">
        <f>IF(AND(原始字段追溯!$E$233="字段",原始字段追溯!$N$233=""),原始字段追溯!$A$233,"")</f>
        <v/>
      </c>
      <c r="B244" s="24" t="str">
        <f>IF(A244="","",原始字段追溯!$C$233&amp;"!"&amp;原始字段追溯!$D$233)</f>
        <v/>
      </c>
      <c r="C244" s="24" t="str">
        <f>IF(A244="","",原始字段追溯!$H$233)</f>
        <v/>
      </c>
      <c r="D244" s="24" t="str">
        <f t="shared" si="3"/>
        <v/>
      </c>
    </row>
    <row r="245" spans="1:4" x14ac:dyDescent="0.25">
      <c r="A245" s="24" t="str">
        <f>IF(AND(原始字段追溯!$E$234="字段",原始字段追溯!$N$234=""),原始字段追溯!$A$234,"")</f>
        <v/>
      </c>
      <c r="B245" s="24" t="str">
        <f>IF(A245="","",原始字段追溯!$C$234&amp;"!"&amp;原始字段追溯!$D$234)</f>
        <v/>
      </c>
      <c r="C245" s="24" t="str">
        <f>IF(A245="","",原始字段追溯!$H$234)</f>
        <v/>
      </c>
      <c r="D245" s="24" t="str">
        <f t="shared" si="3"/>
        <v/>
      </c>
    </row>
    <row r="246" spans="1:4" x14ac:dyDescent="0.25">
      <c r="A246" s="24" t="str">
        <f>IF(AND(原始字段追溯!$E$235="字段",原始字段追溯!$N$235=""),原始字段追溯!$A$235,"")</f>
        <v/>
      </c>
      <c r="B246" s="24" t="str">
        <f>IF(A246="","",原始字段追溯!$C$235&amp;"!"&amp;原始字段追溯!$D$235)</f>
        <v/>
      </c>
      <c r="C246" s="24" t="str">
        <f>IF(A246="","",原始字段追溯!$H$235)</f>
        <v/>
      </c>
      <c r="D246" s="24" t="str">
        <f t="shared" si="3"/>
        <v/>
      </c>
    </row>
    <row r="247" spans="1:4" x14ac:dyDescent="0.25">
      <c r="A247" s="24" t="str">
        <f>IF(AND(原始字段追溯!$E$236="字段",原始字段追溯!$N$236=""),原始字段追溯!$A$236,"")</f>
        <v/>
      </c>
      <c r="B247" s="24" t="str">
        <f>IF(A247="","",原始字段追溯!$C$236&amp;"!"&amp;原始字段追溯!$D$236)</f>
        <v/>
      </c>
      <c r="C247" s="24" t="str">
        <f>IF(A247="","",原始字段追溯!$H$236)</f>
        <v/>
      </c>
      <c r="D247" s="24" t="str">
        <f t="shared" si="3"/>
        <v/>
      </c>
    </row>
    <row r="248" spans="1:4" x14ac:dyDescent="0.25">
      <c r="A248" s="24" t="str">
        <f>IF(AND(原始字段追溯!$E$237="字段",原始字段追溯!$N$237=""),原始字段追溯!$A$237,"")</f>
        <v/>
      </c>
      <c r="B248" s="24" t="str">
        <f>IF(A248="","",原始字段追溯!$C$237&amp;"!"&amp;原始字段追溯!$D$237)</f>
        <v/>
      </c>
      <c r="C248" s="24" t="str">
        <f>IF(A248="","",原始字段追溯!$H$237)</f>
        <v/>
      </c>
      <c r="D248" s="24" t="str">
        <f t="shared" si="3"/>
        <v/>
      </c>
    </row>
    <row r="249" spans="1:4" x14ac:dyDescent="0.25">
      <c r="A249" s="24" t="str">
        <f>IF(AND(原始字段追溯!$E$238="字段",原始字段追溯!$N$238=""),原始字段追溯!$A$238,"")</f>
        <v/>
      </c>
      <c r="B249" s="24" t="str">
        <f>IF(A249="","",原始字段追溯!$C$238&amp;"!"&amp;原始字段追溯!$D$238)</f>
        <v/>
      </c>
      <c r="C249" s="24" t="str">
        <f>IF(A249="","",原始字段追溯!$H$238)</f>
        <v/>
      </c>
      <c r="D249" s="24" t="str">
        <f t="shared" si="3"/>
        <v/>
      </c>
    </row>
    <row r="250" spans="1:4" x14ac:dyDescent="0.25">
      <c r="A250" s="24" t="str">
        <f>IF(AND(原始字段追溯!$E$239="字段",原始字段追溯!$N$239=""),原始字段追溯!$A$239,"")</f>
        <v/>
      </c>
      <c r="B250" s="24" t="str">
        <f>IF(A250="","",原始字段追溯!$C$239&amp;"!"&amp;原始字段追溯!$D$239)</f>
        <v/>
      </c>
      <c r="C250" s="24" t="str">
        <f>IF(A250="","",原始字段追溯!$H$239)</f>
        <v/>
      </c>
      <c r="D250" s="24" t="str">
        <f t="shared" si="3"/>
        <v/>
      </c>
    </row>
    <row r="251" spans="1:4" x14ac:dyDescent="0.25">
      <c r="A251" s="24" t="str">
        <f>IF(AND(原始字段追溯!$E$240="字段",原始字段追溯!$N$240=""),原始字段追溯!$A$240,"")</f>
        <v/>
      </c>
      <c r="B251" s="24" t="str">
        <f>IF(A251="","",原始字段追溯!$C$240&amp;"!"&amp;原始字段追溯!$D$240)</f>
        <v/>
      </c>
      <c r="C251" s="24" t="str">
        <f>IF(A251="","",原始字段追溯!$H$240)</f>
        <v/>
      </c>
      <c r="D251" s="24" t="str">
        <f t="shared" si="3"/>
        <v/>
      </c>
    </row>
    <row r="252" spans="1:4" x14ac:dyDescent="0.25">
      <c r="A252" s="24" t="str">
        <f>IF(AND(原始字段追溯!$E$241="字段",原始字段追溯!$N$241=""),原始字段追溯!$A$241,"")</f>
        <v/>
      </c>
      <c r="B252" s="24" t="str">
        <f>IF(A252="","",原始字段追溯!$C$241&amp;"!"&amp;原始字段追溯!$D$241)</f>
        <v/>
      </c>
      <c r="C252" s="24" t="str">
        <f>IF(A252="","",原始字段追溯!$H$241)</f>
        <v/>
      </c>
      <c r="D252" s="24" t="str">
        <f t="shared" si="3"/>
        <v/>
      </c>
    </row>
    <row r="253" spans="1:4" x14ac:dyDescent="0.25">
      <c r="A253" s="24" t="str">
        <f>IF(AND(原始字段追溯!$E$242="字段",原始字段追溯!$N$242=""),原始字段追溯!$A$242,"")</f>
        <v/>
      </c>
      <c r="B253" s="24" t="str">
        <f>IF(A253="","",原始字段追溯!$C$242&amp;"!"&amp;原始字段追溯!$D$242)</f>
        <v/>
      </c>
      <c r="C253" s="24" t="str">
        <f>IF(A253="","",原始字段追溯!$H$242)</f>
        <v/>
      </c>
      <c r="D253" s="24" t="str">
        <f t="shared" si="3"/>
        <v/>
      </c>
    </row>
    <row r="254" spans="1:4" x14ac:dyDescent="0.25">
      <c r="A254" s="24" t="str">
        <f>IF(AND(原始字段追溯!$E$243="字段",原始字段追溯!$N$243=""),原始字段追溯!$A$243,"")</f>
        <v/>
      </c>
      <c r="B254" s="24" t="str">
        <f>IF(A254="","",原始字段追溯!$C$243&amp;"!"&amp;原始字段追溯!$D$243)</f>
        <v/>
      </c>
      <c r="C254" s="24" t="str">
        <f>IF(A254="","",原始字段追溯!$H$243)</f>
        <v/>
      </c>
      <c r="D254" s="24" t="str">
        <f t="shared" si="3"/>
        <v/>
      </c>
    </row>
    <row r="255" spans="1:4" x14ac:dyDescent="0.25">
      <c r="A255" s="24" t="str">
        <f>IF(AND(原始字段追溯!$E$244="字段",原始字段追溯!$N$244=""),原始字段追溯!$A$244,"")</f>
        <v/>
      </c>
      <c r="B255" s="24" t="str">
        <f>IF(A255="","",原始字段追溯!$C$244&amp;"!"&amp;原始字段追溯!$D$244)</f>
        <v/>
      </c>
      <c r="C255" s="24" t="str">
        <f>IF(A255="","",原始字段追溯!$H$244)</f>
        <v/>
      </c>
      <c r="D255" s="24" t="str">
        <f t="shared" si="3"/>
        <v/>
      </c>
    </row>
    <row r="256" spans="1:4" x14ac:dyDescent="0.25">
      <c r="A256" s="24" t="str">
        <f>IF(AND(原始字段追溯!$E$245="字段",原始字段追溯!$N$245=""),原始字段追溯!$A$245,"")</f>
        <v/>
      </c>
      <c r="B256" s="24" t="str">
        <f>IF(A256="","",原始字段追溯!$C$245&amp;"!"&amp;原始字段追溯!$D$245)</f>
        <v/>
      </c>
      <c r="C256" s="24" t="str">
        <f>IF(A256="","",原始字段追溯!$H$245)</f>
        <v/>
      </c>
      <c r="D256" s="24" t="str">
        <f t="shared" si="3"/>
        <v/>
      </c>
    </row>
    <row r="257" spans="1:7" x14ac:dyDescent="0.25">
      <c r="A257" s="24" t="str">
        <f>IF(AND(原始字段追溯!$E$246="字段",原始字段追溯!$N$246=""),原始字段追溯!$A$246,"")</f>
        <v/>
      </c>
      <c r="B257" s="24" t="str">
        <f>IF(A257="","",原始字段追溯!$C$246&amp;"!"&amp;原始字段追溯!$D$246)</f>
        <v/>
      </c>
      <c r="C257" s="24" t="str">
        <f>IF(A257="","",原始字段追溯!$H$246)</f>
        <v/>
      </c>
      <c r="D257" s="24" t="str">
        <f t="shared" si="3"/>
        <v/>
      </c>
    </row>
    <row r="258" spans="1:7" x14ac:dyDescent="0.25">
      <c r="A258" s="24" t="str">
        <f>IF(AND(原始字段追溯!$E$247="字段",原始字段追溯!$N$247=""),原始字段追溯!$A$247,"")</f>
        <v/>
      </c>
      <c r="B258" s="24" t="str">
        <f>IF(A258="","",原始字段追溯!$C$247&amp;"!"&amp;原始字段追溯!$D$247)</f>
        <v/>
      </c>
      <c r="C258" s="24" t="str">
        <f>IF(A258="","",原始字段追溯!$H$247)</f>
        <v/>
      </c>
      <c r="D258" s="24" t="str">
        <f t="shared" si="3"/>
        <v/>
      </c>
    </row>
    <row r="259" spans="1:7" x14ac:dyDescent="0.25">
      <c r="A259" s="24" t="str">
        <f>IF(AND(原始字段追溯!$E$248="字段",原始字段追溯!$N$248=""),原始字段追溯!$A$248,"")</f>
        <v/>
      </c>
      <c r="B259" s="24" t="str">
        <f>IF(A259="","",原始字段追溯!$C$248&amp;"!"&amp;原始字段追溯!$D$248)</f>
        <v/>
      </c>
      <c r="C259" s="24" t="str">
        <f>IF(A259="","",原始字段追溯!$H$248)</f>
        <v/>
      </c>
      <c r="D259" s="24" t="str">
        <f t="shared" si="3"/>
        <v/>
      </c>
    </row>
    <row r="260" spans="1:7" x14ac:dyDescent="0.25">
      <c r="A260" s="24" t="str">
        <f>IF(AND(原始字段追溯!$E$249="字段",原始字段追溯!$N$249=""),原始字段追溯!$A$249,"")</f>
        <v/>
      </c>
      <c r="B260" s="24" t="str">
        <f>IF(A260="","",原始字段追溯!$C$249&amp;"!"&amp;原始字段追溯!$D$249)</f>
        <v/>
      </c>
      <c r="C260" s="24" t="str">
        <f>IF(A260="","",原始字段追溯!$H$249)</f>
        <v/>
      </c>
      <c r="D260" s="24" t="str">
        <f t="shared" si="3"/>
        <v/>
      </c>
    </row>
    <row r="261" spans="1:7" x14ac:dyDescent="0.25">
      <c r="A261" s="24" t="str">
        <f>IF(AND(原始字段追溯!$E$250="字段",原始字段追溯!$N$250=""),原始字段追溯!$A$250,"")</f>
        <v/>
      </c>
      <c r="B261" s="24" t="str">
        <f>IF(A261="","",原始字段追溯!$C$250&amp;"!"&amp;原始字段追溯!$D$250)</f>
        <v/>
      </c>
      <c r="C261" s="24" t="str">
        <f>IF(A261="","",原始字段追溯!$H$250)</f>
        <v/>
      </c>
      <c r="D261" s="24" t="str">
        <f t="shared" si="3"/>
        <v/>
      </c>
    </row>
    <row r="262" spans="1:7" x14ac:dyDescent="0.25">
      <c r="A262" s="24" t="str">
        <f>IF(AND(原始字段追溯!$E$251="字段",原始字段追溯!$N$251=""),原始字段追溯!$A$251,"")</f>
        <v/>
      </c>
      <c r="B262" s="24" t="str">
        <f>IF(A262="","",原始字段追溯!$C$251&amp;"!"&amp;原始字段追溯!$D$251)</f>
        <v/>
      </c>
      <c r="C262" s="24" t="str">
        <f>IF(A262="","",原始字段追溯!$H$251)</f>
        <v/>
      </c>
      <c r="D262" s="24" t="str">
        <f t="shared" si="3"/>
        <v/>
      </c>
    </row>
    <row r="263" spans="1:7" x14ac:dyDescent="0.25">
      <c r="A263" s="24" t="str">
        <f>IF(AND(原始字段追溯!$E$252="字段",原始字段追溯!$N$252=""),原始字段追溯!$A$252,"")</f>
        <v/>
      </c>
      <c r="B263" s="24" t="str">
        <f>IF(A263="","",原始字段追溯!$C$252&amp;"!"&amp;原始字段追溯!$D$252)</f>
        <v/>
      </c>
      <c r="C263" s="24" t="str">
        <f>IF(A263="","",原始字段追溯!$H$252)</f>
        <v/>
      </c>
      <c r="D263" s="24" t="str">
        <f t="shared" si="3"/>
        <v/>
      </c>
    </row>
    <row r="264" spans="1:7" x14ac:dyDescent="0.25">
      <c r="A264" s="24" t="str">
        <f>IF(AND(原始字段追溯!$E$253="字段",原始字段追溯!$N$253=""),原始字段追溯!$A$253,"")</f>
        <v/>
      </c>
      <c r="B264" s="24" t="str">
        <f>IF(A264="","",原始字段追溯!$C$253&amp;"!"&amp;原始字段追溯!$D$253)</f>
        <v/>
      </c>
      <c r="C264" s="24" t="str">
        <f>IF(A264="","",原始字段追溯!$H$253)</f>
        <v/>
      </c>
      <c r="D264" s="24" t="str">
        <f t="shared" si="3"/>
        <v/>
      </c>
    </row>
    <row r="265" spans="1:7" x14ac:dyDescent="0.25">
      <c r="A265" s="24" t="str">
        <f>IF(AND(原始字段追溯!$E$254="字段",原始字段追溯!$N$254=""),原始字段追溯!$A$254,"")</f>
        <v/>
      </c>
      <c r="B265" s="24" t="str">
        <f>IF(A265="","",原始字段追溯!$C$254&amp;"!"&amp;原始字段追溯!$D$254)</f>
        <v/>
      </c>
      <c r="C265" s="24" t="str">
        <f>IF(A265="","",原始字段追溯!$H$254)</f>
        <v/>
      </c>
      <c r="D265" s="24" t="str">
        <f t="shared" si="3"/>
        <v/>
      </c>
    </row>
    <row r="266" spans="1:7" x14ac:dyDescent="0.25">
      <c r="A266" s="25" t="str">
        <f>IF(AND(原始字段追溯!$E$255="字段",原始字段追溯!$N$255=""),原始字段追溯!$A$255,"")</f>
        <v/>
      </c>
      <c r="B266" s="25" t="str">
        <f>IF(A266="","",原始字段追溯!$C$255&amp;"!"&amp;原始字段追溯!$D$255)</f>
        <v/>
      </c>
      <c r="C266" s="25" t="str">
        <f>IF(A266="","",原始字段追溯!$H$255)</f>
        <v/>
      </c>
      <c r="D266" s="25" t="str">
        <f t="shared" si="3"/>
        <v/>
      </c>
    </row>
    <row r="269" spans="1:7" x14ac:dyDescent="0.25">
      <c r="A269" s="87" t="s">
        <v>1224</v>
      </c>
      <c r="B269" s="73"/>
      <c r="C269" s="73"/>
      <c r="D269" s="73"/>
      <c r="E269" s="73"/>
      <c r="F269" s="73"/>
      <c r="G269" s="73"/>
    </row>
    <row r="270" spans="1:7" x14ac:dyDescent="0.25">
      <c r="A270" s="22" t="s">
        <v>40</v>
      </c>
      <c r="B270" s="22" t="s">
        <v>1225</v>
      </c>
      <c r="C270" s="22" t="s">
        <v>1226</v>
      </c>
      <c r="D270" s="22" t="s">
        <v>1223</v>
      </c>
    </row>
    <row r="271" spans="1:7" x14ac:dyDescent="0.25">
      <c r="A271" s="23" t="str">
        <f>IF(COUNTIF(字段母版!$A$5:$A$191,字段母版!$A$5)&gt;1,字段母版!$A$5,"")</f>
        <v/>
      </c>
      <c r="B271" s="23" t="str">
        <f>IF(A271="","",字段母版!$C$5)</f>
        <v/>
      </c>
      <c r="C271" s="23" t="str">
        <f>IF(A271="","",字段母版!$G$5)</f>
        <v/>
      </c>
      <c r="D271" s="23" t="str">
        <f t="shared" ref="D271:D302" si="4">IF(A271="","","重复 field_id")</f>
        <v/>
      </c>
    </row>
    <row r="272" spans="1:7" x14ac:dyDescent="0.25">
      <c r="A272" s="24" t="str">
        <f>IF(COUNTIF(字段母版!$A$5:$A$191,字段母版!$A$6)&gt;1,字段母版!$A$6,"")</f>
        <v/>
      </c>
      <c r="B272" s="24" t="str">
        <f>IF(A272="","",字段母版!$C$6)</f>
        <v/>
      </c>
      <c r="C272" s="24" t="str">
        <f>IF(A272="","",字段母版!$G$6)</f>
        <v/>
      </c>
      <c r="D272" s="24" t="str">
        <f t="shared" si="4"/>
        <v/>
      </c>
    </row>
    <row r="273" spans="1:4" x14ac:dyDescent="0.25">
      <c r="A273" s="24" t="str">
        <f>IF(COUNTIF(字段母版!$A$5:$A$191,字段母版!$A$7)&gt;1,字段母版!$A$7,"")</f>
        <v/>
      </c>
      <c r="B273" s="24" t="str">
        <f>IF(A273="","",字段母版!$C$7)</f>
        <v/>
      </c>
      <c r="C273" s="24" t="str">
        <f>IF(A273="","",字段母版!$G$7)</f>
        <v/>
      </c>
      <c r="D273" s="24" t="str">
        <f t="shared" si="4"/>
        <v/>
      </c>
    </row>
    <row r="274" spans="1:4" x14ac:dyDescent="0.25">
      <c r="A274" s="24" t="str">
        <f>IF(COUNTIF(字段母版!$A$5:$A$191,字段母版!$A$8)&gt;1,字段母版!$A$8,"")</f>
        <v/>
      </c>
      <c r="B274" s="24" t="str">
        <f>IF(A274="","",字段母版!$C$8)</f>
        <v/>
      </c>
      <c r="C274" s="24" t="str">
        <f>IF(A274="","",字段母版!$G$8)</f>
        <v/>
      </c>
      <c r="D274" s="24" t="str">
        <f t="shared" si="4"/>
        <v/>
      </c>
    </row>
    <row r="275" spans="1:4" x14ac:dyDescent="0.25">
      <c r="A275" s="24" t="str">
        <f>IF(COUNTIF(字段母版!$A$5:$A$191,字段母版!$A$9)&gt;1,字段母版!$A$9,"")</f>
        <v/>
      </c>
      <c r="B275" s="24" t="str">
        <f>IF(A275="","",字段母版!$C$9)</f>
        <v/>
      </c>
      <c r="C275" s="24" t="str">
        <f>IF(A275="","",字段母版!$G$9)</f>
        <v/>
      </c>
      <c r="D275" s="24" t="str">
        <f t="shared" si="4"/>
        <v/>
      </c>
    </row>
    <row r="276" spans="1:4" x14ac:dyDescent="0.25">
      <c r="A276" s="24" t="str">
        <f>IF(COUNTIF(字段母版!$A$5:$A$191,字段母版!$A$10)&gt;1,字段母版!$A$10,"")</f>
        <v/>
      </c>
      <c r="B276" s="24" t="str">
        <f>IF(A276="","",字段母版!$C$10)</f>
        <v/>
      </c>
      <c r="C276" s="24" t="str">
        <f>IF(A276="","",字段母版!$G$10)</f>
        <v/>
      </c>
      <c r="D276" s="24" t="str">
        <f t="shared" si="4"/>
        <v/>
      </c>
    </row>
    <row r="277" spans="1:4" x14ac:dyDescent="0.25">
      <c r="A277" s="24" t="str">
        <f>IF(COUNTIF(字段母版!$A$5:$A$191,字段母版!$A$11)&gt;1,字段母版!$A$11,"")</f>
        <v/>
      </c>
      <c r="B277" s="24" t="str">
        <f>IF(A277="","",字段母版!$C$11)</f>
        <v/>
      </c>
      <c r="C277" s="24" t="str">
        <f>IF(A277="","",字段母版!$G$11)</f>
        <v/>
      </c>
      <c r="D277" s="24" t="str">
        <f t="shared" si="4"/>
        <v/>
      </c>
    </row>
    <row r="278" spans="1:4" x14ac:dyDescent="0.25">
      <c r="A278" s="24" t="str">
        <f>IF(COUNTIF(字段母版!$A$5:$A$191,字段母版!$A$12)&gt;1,字段母版!$A$12,"")</f>
        <v/>
      </c>
      <c r="B278" s="24" t="str">
        <f>IF(A278="","",字段母版!$C$12)</f>
        <v/>
      </c>
      <c r="C278" s="24" t="str">
        <f>IF(A278="","",字段母版!$G$12)</f>
        <v/>
      </c>
      <c r="D278" s="24" t="str">
        <f t="shared" si="4"/>
        <v/>
      </c>
    </row>
    <row r="279" spans="1:4" x14ac:dyDescent="0.25">
      <c r="A279" s="24" t="str">
        <f>IF(COUNTIF(字段母版!$A$5:$A$191,字段母版!$A$13)&gt;1,字段母版!$A$13,"")</f>
        <v/>
      </c>
      <c r="B279" s="24" t="str">
        <f>IF(A279="","",字段母版!$C$13)</f>
        <v/>
      </c>
      <c r="C279" s="24" t="str">
        <f>IF(A279="","",字段母版!$G$13)</f>
        <v/>
      </c>
      <c r="D279" s="24" t="str">
        <f t="shared" si="4"/>
        <v/>
      </c>
    </row>
    <row r="280" spans="1:4" x14ac:dyDescent="0.25">
      <c r="A280" s="24" t="str">
        <f>IF(COUNTIF(字段母版!$A$5:$A$191,字段母版!$A$14)&gt;1,字段母版!$A$14,"")</f>
        <v/>
      </c>
      <c r="B280" s="24" t="str">
        <f>IF(A280="","",字段母版!$C$14)</f>
        <v/>
      </c>
      <c r="C280" s="24" t="str">
        <f>IF(A280="","",字段母版!$G$14)</f>
        <v/>
      </c>
      <c r="D280" s="24" t="str">
        <f t="shared" si="4"/>
        <v/>
      </c>
    </row>
    <row r="281" spans="1:4" x14ac:dyDescent="0.25">
      <c r="A281" s="24" t="str">
        <f>IF(COUNTIF(字段母版!$A$5:$A$191,字段母版!$A$15)&gt;1,字段母版!$A$15,"")</f>
        <v/>
      </c>
      <c r="B281" s="24" t="str">
        <f>IF(A281="","",字段母版!$C$15)</f>
        <v/>
      </c>
      <c r="C281" s="24" t="str">
        <f>IF(A281="","",字段母版!$G$15)</f>
        <v/>
      </c>
      <c r="D281" s="24" t="str">
        <f t="shared" si="4"/>
        <v/>
      </c>
    </row>
    <row r="282" spans="1:4" x14ac:dyDescent="0.25">
      <c r="A282" s="24" t="str">
        <f>IF(COUNTIF(字段母版!$A$5:$A$191,字段母版!$A$16)&gt;1,字段母版!$A$16,"")</f>
        <v/>
      </c>
      <c r="B282" s="24" t="str">
        <f>IF(A282="","",字段母版!$C$16)</f>
        <v/>
      </c>
      <c r="C282" s="24" t="str">
        <f>IF(A282="","",字段母版!$G$16)</f>
        <v/>
      </c>
      <c r="D282" s="24" t="str">
        <f t="shared" si="4"/>
        <v/>
      </c>
    </row>
    <row r="283" spans="1:4" x14ac:dyDescent="0.25">
      <c r="A283" s="24" t="str">
        <f>IF(COUNTIF(字段母版!$A$5:$A$191,字段母版!$A$17)&gt;1,字段母版!$A$17,"")</f>
        <v/>
      </c>
      <c r="B283" s="24" t="str">
        <f>IF(A283="","",字段母版!$C$17)</f>
        <v/>
      </c>
      <c r="C283" s="24" t="str">
        <f>IF(A283="","",字段母版!$G$17)</f>
        <v/>
      </c>
      <c r="D283" s="24" t="str">
        <f t="shared" si="4"/>
        <v/>
      </c>
    </row>
    <row r="284" spans="1:4" x14ac:dyDescent="0.25">
      <c r="A284" s="24" t="str">
        <f>IF(COUNTIF(字段母版!$A$5:$A$191,字段母版!$A$18)&gt;1,字段母版!$A$18,"")</f>
        <v/>
      </c>
      <c r="B284" s="24" t="str">
        <f>IF(A284="","",字段母版!$C$18)</f>
        <v/>
      </c>
      <c r="C284" s="24" t="str">
        <f>IF(A284="","",字段母版!$G$18)</f>
        <v/>
      </c>
      <c r="D284" s="24" t="str">
        <f t="shared" si="4"/>
        <v/>
      </c>
    </row>
    <row r="285" spans="1:4" x14ac:dyDescent="0.25">
      <c r="A285" s="24" t="str">
        <f>IF(COUNTIF(字段母版!$A$5:$A$191,字段母版!$A$19)&gt;1,字段母版!$A$19,"")</f>
        <v/>
      </c>
      <c r="B285" s="24" t="str">
        <f>IF(A285="","",字段母版!$C$19)</f>
        <v/>
      </c>
      <c r="C285" s="24" t="str">
        <f>IF(A285="","",字段母版!$G$19)</f>
        <v/>
      </c>
      <c r="D285" s="24" t="str">
        <f t="shared" si="4"/>
        <v/>
      </c>
    </row>
    <row r="286" spans="1:4" x14ac:dyDescent="0.25">
      <c r="A286" s="24" t="str">
        <f>IF(COUNTIF(字段母版!$A$5:$A$191,字段母版!$A$20)&gt;1,字段母版!$A$20,"")</f>
        <v/>
      </c>
      <c r="B286" s="24" t="str">
        <f>IF(A286="","",字段母版!$C$20)</f>
        <v/>
      </c>
      <c r="C286" s="24" t="str">
        <f>IF(A286="","",字段母版!$G$20)</f>
        <v/>
      </c>
      <c r="D286" s="24" t="str">
        <f t="shared" si="4"/>
        <v/>
      </c>
    </row>
    <row r="287" spans="1:4" x14ac:dyDescent="0.25">
      <c r="A287" s="24" t="str">
        <f>IF(COUNTIF(字段母版!$A$5:$A$191,字段母版!$A$21)&gt;1,字段母版!$A$21,"")</f>
        <v/>
      </c>
      <c r="B287" s="24" t="str">
        <f>IF(A287="","",字段母版!$C$21)</f>
        <v/>
      </c>
      <c r="C287" s="24" t="str">
        <f>IF(A287="","",字段母版!$G$21)</f>
        <v/>
      </c>
      <c r="D287" s="24" t="str">
        <f t="shared" si="4"/>
        <v/>
      </c>
    </row>
    <row r="288" spans="1:4" x14ac:dyDescent="0.25">
      <c r="A288" s="24" t="str">
        <f>IF(COUNTIF(字段母版!$A$5:$A$191,字段母版!$A$22)&gt;1,字段母版!$A$22,"")</f>
        <v/>
      </c>
      <c r="B288" s="24" t="str">
        <f>IF(A288="","",字段母版!$C$22)</f>
        <v/>
      </c>
      <c r="C288" s="24" t="str">
        <f>IF(A288="","",字段母版!$G$22)</f>
        <v/>
      </c>
      <c r="D288" s="24" t="str">
        <f t="shared" si="4"/>
        <v/>
      </c>
    </row>
    <row r="289" spans="1:4" x14ac:dyDescent="0.25">
      <c r="A289" s="24" t="str">
        <f>IF(COUNTIF(字段母版!$A$5:$A$191,字段母版!$A$23)&gt;1,字段母版!$A$23,"")</f>
        <v/>
      </c>
      <c r="B289" s="24" t="str">
        <f>IF(A289="","",字段母版!$C$23)</f>
        <v/>
      </c>
      <c r="C289" s="24" t="str">
        <f>IF(A289="","",字段母版!$G$23)</f>
        <v/>
      </c>
      <c r="D289" s="24" t="str">
        <f t="shared" si="4"/>
        <v/>
      </c>
    </row>
    <row r="290" spans="1:4" x14ac:dyDescent="0.25">
      <c r="A290" s="24" t="str">
        <f>IF(COUNTIF(字段母版!$A$5:$A$191,字段母版!$A$24)&gt;1,字段母版!$A$24,"")</f>
        <v/>
      </c>
      <c r="B290" s="24" t="str">
        <f>IF(A290="","",字段母版!$C$24)</f>
        <v/>
      </c>
      <c r="C290" s="24" t="str">
        <f>IF(A290="","",字段母版!$G$24)</f>
        <v/>
      </c>
      <c r="D290" s="24" t="str">
        <f t="shared" si="4"/>
        <v/>
      </c>
    </row>
    <row r="291" spans="1:4" x14ac:dyDescent="0.25">
      <c r="A291" s="24" t="str">
        <f>IF(COUNTIF(字段母版!$A$5:$A$191,字段母版!$A$25)&gt;1,字段母版!$A$25,"")</f>
        <v/>
      </c>
      <c r="B291" s="24" t="str">
        <f>IF(A291="","",字段母版!$C$25)</f>
        <v/>
      </c>
      <c r="C291" s="24" t="str">
        <f>IF(A291="","",字段母版!$G$25)</f>
        <v/>
      </c>
      <c r="D291" s="24" t="str">
        <f t="shared" si="4"/>
        <v/>
      </c>
    </row>
    <row r="292" spans="1:4" x14ac:dyDescent="0.25">
      <c r="A292" s="24" t="str">
        <f>IF(COUNTIF(字段母版!$A$5:$A$191,字段母版!$A$26)&gt;1,字段母版!$A$26,"")</f>
        <v/>
      </c>
      <c r="B292" s="24" t="str">
        <f>IF(A292="","",字段母版!$C$26)</f>
        <v/>
      </c>
      <c r="C292" s="24" t="str">
        <f>IF(A292="","",字段母版!$G$26)</f>
        <v/>
      </c>
      <c r="D292" s="24" t="str">
        <f t="shared" si="4"/>
        <v/>
      </c>
    </row>
    <row r="293" spans="1:4" x14ac:dyDescent="0.25">
      <c r="A293" s="24" t="str">
        <f>IF(COUNTIF(字段母版!$A$5:$A$191,字段母版!$A$27)&gt;1,字段母版!$A$27,"")</f>
        <v/>
      </c>
      <c r="B293" s="24" t="str">
        <f>IF(A293="","",字段母版!$C$27)</f>
        <v/>
      </c>
      <c r="C293" s="24" t="str">
        <f>IF(A293="","",字段母版!$G$27)</f>
        <v/>
      </c>
      <c r="D293" s="24" t="str">
        <f t="shared" si="4"/>
        <v/>
      </c>
    </row>
    <row r="294" spans="1:4" x14ac:dyDescent="0.25">
      <c r="A294" s="24" t="str">
        <f>IF(COUNTIF(字段母版!$A$5:$A$191,字段母版!$A$28)&gt;1,字段母版!$A$28,"")</f>
        <v/>
      </c>
      <c r="B294" s="24" t="str">
        <f>IF(A294="","",字段母版!$C$28)</f>
        <v/>
      </c>
      <c r="C294" s="24" t="str">
        <f>IF(A294="","",字段母版!$G$28)</f>
        <v/>
      </c>
      <c r="D294" s="24" t="str">
        <f t="shared" si="4"/>
        <v/>
      </c>
    </row>
    <row r="295" spans="1:4" x14ac:dyDescent="0.25">
      <c r="A295" s="24" t="str">
        <f>IF(COUNTIF(字段母版!$A$5:$A$191,字段母版!$A$29)&gt;1,字段母版!$A$29,"")</f>
        <v/>
      </c>
      <c r="B295" s="24" t="str">
        <f>IF(A295="","",字段母版!$C$29)</f>
        <v/>
      </c>
      <c r="C295" s="24" t="str">
        <f>IF(A295="","",字段母版!$G$29)</f>
        <v/>
      </c>
      <c r="D295" s="24" t="str">
        <f t="shared" si="4"/>
        <v/>
      </c>
    </row>
    <row r="296" spans="1:4" x14ac:dyDescent="0.25">
      <c r="A296" s="24" t="str">
        <f>IF(COUNTIF(字段母版!$A$5:$A$191,字段母版!$A$30)&gt;1,字段母版!$A$30,"")</f>
        <v/>
      </c>
      <c r="B296" s="24" t="str">
        <f>IF(A296="","",字段母版!$C$30)</f>
        <v/>
      </c>
      <c r="C296" s="24" t="str">
        <f>IF(A296="","",字段母版!$G$30)</f>
        <v/>
      </c>
      <c r="D296" s="24" t="str">
        <f t="shared" si="4"/>
        <v/>
      </c>
    </row>
    <row r="297" spans="1:4" x14ac:dyDescent="0.25">
      <c r="A297" s="24" t="str">
        <f>IF(COUNTIF(字段母版!$A$5:$A$191,字段母版!$A$31)&gt;1,字段母版!$A$31,"")</f>
        <v/>
      </c>
      <c r="B297" s="24" t="str">
        <f>IF(A297="","",字段母版!$C$31)</f>
        <v/>
      </c>
      <c r="C297" s="24" t="str">
        <f>IF(A297="","",字段母版!$G$31)</f>
        <v/>
      </c>
      <c r="D297" s="24" t="str">
        <f t="shared" si="4"/>
        <v/>
      </c>
    </row>
    <row r="298" spans="1:4" x14ac:dyDescent="0.25">
      <c r="A298" s="24" t="str">
        <f>IF(COUNTIF(字段母版!$A$5:$A$191,字段母版!$A$32)&gt;1,字段母版!$A$32,"")</f>
        <v/>
      </c>
      <c r="B298" s="24" t="str">
        <f>IF(A298="","",字段母版!$C$32)</f>
        <v/>
      </c>
      <c r="C298" s="24" t="str">
        <f>IF(A298="","",字段母版!$G$32)</f>
        <v/>
      </c>
      <c r="D298" s="24" t="str">
        <f t="shared" si="4"/>
        <v/>
      </c>
    </row>
    <row r="299" spans="1:4" x14ac:dyDescent="0.25">
      <c r="A299" s="24" t="str">
        <f>IF(COUNTIF(字段母版!$A$5:$A$191,字段母版!$A$33)&gt;1,字段母版!$A$33,"")</f>
        <v/>
      </c>
      <c r="B299" s="24" t="str">
        <f>IF(A299="","",字段母版!$C$33)</f>
        <v/>
      </c>
      <c r="C299" s="24" t="str">
        <f>IF(A299="","",字段母版!$G$33)</f>
        <v/>
      </c>
      <c r="D299" s="24" t="str">
        <f t="shared" si="4"/>
        <v/>
      </c>
    </row>
    <row r="300" spans="1:4" x14ac:dyDescent="0.25">
      <c r="A300" s="24" t="str">
        <f>IF(COUNTIF(字段母版!$A$5:$A$191,字段母版!$A$34)&gt;1,字段母版!$A$34,"")</f>
        <v/>
      </c>
      <c r="B300" s="24" t="str">
        <f>IF(A300="","",字段母版!$C$34)</f>
        <v/>
      </c>
      <c r="C300" s="24" t="str">
        <f>IF(A300="","",字段母版!$G$34)</f>
        <v/>
      </c>
      <c r="D300" s="24" t="str">
        <f t="shared" si="4"/>
        <v/>
      </c>
    </row>
    <row r="301" spans="1:4" x14ac:dyDescent="0.25">
      <c r="A301" s="24" t="str">
        <f>IF(COUNTIF(字段母版!$A$5:$A$191,字段母版!$A$35)&gt;1,字段母版!$A$35,"")</f>
        <v/>
      </c>
      <c r="B301" s="24" t="str">
        <f>IF(A301="","",字段母版!$C$35)</f>
        <v/>
      </c>
      <c r="C301" s="24" t="str">
        <f>IF(A301="","",字段母版!$G$35)</f>
        <v/>
      </c>
      <c r="D301" s="24" t="str">
        <f t="shared" si="4"/>
        <v/>
      </c>
    </row>
    <row r="302" spans="1:4" x14ac:dyDescent="0.25">
      <c r="A302" s="24" t="str">
        <f>IF(COUNTIF(字段母版!$A$5:$A$191,字段母版!$A$36)&gt;1,字段母版!$A$36,"")</f>
        <v/>
      </c>
      <c r="B302" s="24" t="str">
        <f>IF(A302="","",字段母版!$C$36)</f>
        <v/>
      </c>
      <c r="C302" s="24" t="str">
        <f>IF(A302="","",字段母版!$G$36)</f>
        <v/>
      </c>
      <c r="D302" s="24" t="str">
        <f t="shared" si="4"/>
        <v/>
      </c>
    </row>
    <row r="303" spans="1:4" x14ac:dyDescent="0.25">
      <c r="A303" s="24" t="str">
        <f>IF(COUNTIF(字段母版!$A$5:$A$191,字段母版!$A$37)&gt;1,字段母版!$A$37,"")</f>
        <v/>
      </c>
      <c r="B303" s="24" t="str">
        <f>IF(A303="","",字段母版!$C$37)</f>
        <v/>
      </c>
      <c r="C303" s="24" t="str">
        <f>IF(A303="","",字段母版!$G$37)</f>
        <v/>
      </c>
      <c r="D303" s="24" t="str">
        <f t="shared" ref="D303:D334" si="5">IF(A303="","","重复 field_id")</f>
        <v/>
      </c>
    </row>
    <row r="304" spans="1:4" x14ac:dyDescent="0.25">
      <c r="A304" s="24" t="str">
        <f>IF(COUNTIF(字段母版!$A$5:$A$191,字段母版!$A$38)&gt;1,字段母版!$A$38,"")</f>
        <v/>
      </c>
      <c r="B304" s="24" t="str">
        <f>IF(A304="","",字段母版!$C$38)</f>
        <v/>
      </c>
      <c r="C304" s="24" t="str">
        <f>IF(A304="","",字段母版!$G$38)</f>
        <v/>
      </c>
      <c r="D304" s="24" t="str">
        <f t="shared" si="5"/>
        <v/>
      </c>
    </row>
    <row r="305" spans="1:4" x14ac:dyDescent="0.25">
      <c r="A305" s="24" t="str">
        <f>IF(COUNTIF(字段母版!$A$5:$A$191,字段母版!$A$39)&gt;1,字段母版!$A$39,"")</f>
        <v/>
      </c>
      <c r="B305" s="24" t="str">
        <f>IF(A305="","",字段母版!$C$39)</f>
        <v/>
      </c>
      <c r="C305" s="24" t="str">
        <f>IF(A305="","",字段母版!$G$39)</f>
        <v/>
      </c>
      <c r="D305" s="24" t="str">
        <f t="shared" si="5"/>
        <v/>
      </c>
    </row>
    <row r="306" spans="1:4" x14ac:dyDescent="0.25">
      <c r="A306" s="24" t="str">
        <f>IF(COUNTIF(字段母版!$A$5:$A$191,字段母版!$A$40)&gt;1,字段母版!$A$40,"")</f>
        <v/>
      </c>
      <c r="B306" s="24" t="str">
        <f>IF(A306="","",字段母版!$C$40)</f>
        <v/>
      </c>
      <c r="C306" s="24" t="str">
        <f>IF(A306="","",字段母版!$G$40)</f>
        <v/>
      </c>
      <c r="D306" s="24" t="str">
        <f t="shared" si="5"/>
        <v/>
      </c>
    </row>
    <row r="307" spans="1:4" x14ac:dyDescent="0.25">
      <c r="A307" s="24" t="str">
        <f>IF(COUNTIF(字段母版!$A$5:$A$191,字段母版!$A$41)&gt;1,字段母版!$A$41,"")</f>
        <v/>
      </c>
      <c r="B307" s="24" t="str">
        <f>IF(A307="","",字段母版!$C$41)</f>
        <v/>
      </c>
      <c r="C307" s="24" t="str">
        <f>IF(A307="","",字段母版!$G$41)</f>
        <v/>
      </c>
      <c r="D307" s="24" t="str">
        <f t="shared" si="5"/>
        <v/>
      </c>
    </row>
    <row r="308" spans="1:4" x14ac:dyDescent="0.25">
      <c r="A308" s="24" t="str">
        <f>IF(COUNTIF(字段母版!$A$5:$A$191,字段母版!$A$42)&gt;1,字段母版!$A$42,"")</f>
        <v/>
      </c>
      <c r="B308" s="24" t="str">
        <f>IF(A308="","",字段母版!$C$42)</f>
        <v/>
      </c>
      <c r="C308" s="24" t="str">
        <f>IF(A308="","",字段母版!$G$42)</f>
        <v/>
      </c>
      <c r="D308" s="24" t="str">
        <f t="shared" si="5"/>
        <v/>
      </c>
    </row>
    <row r="309" spans="1:4" x14ac:dyDescent="0.25">
      <c r="A309" s="24" t="str">
        <f>IF(COUNTIF(字段母版!$A$5:$A$191,字段母版!$A$43)&gt;1,字段母版!$A$43,"")</f>
        <v/>
      </c>
      <c r="B309" s="24" t="str">
        <f>IF(A309="","",字段母版!$C$43)</f>
        <v/>
      </c>
      <c r="C309" s="24" t="str">
        <f>IF(A309="","",字段母版!$G$43)</f>
        <v/>
      </c>
      <c r="D309" s="24" t="str">
        <f t="shared" si="5"/>
        <v/>
      </c>
    </row>
    <row r="310" spans="1:4" x14ac:dyDescent="0.25">
      <c r="A310" s="24" t="str">
        <f>IF(COUNTIF(字段母版!$A$5:$A$191,字段母版!$A$44)&gt;1,字段母版!$A$44,"")</f>
        <v/>
      </c>
      <c r="B310" s="24" t="str">
        <f>IF(A310="","",字段母版!$C$44)</f>
        <v/>
      </c>
      <c r="C310" s="24" t="str">
        <f>IF(A310="","",字段母版!$G$44)</f>
        <v/>
      </c>
      <c r="D310" s="24" t="str">
        <f t="shared" si="5"/>
        <v/>
      </c>
    </row>
    <row r="311" spans="1:4" x14ac:dyDescent="0.25">
      <c r="A311" s="24" t="str">
        <f>IF(COUNTIF(字段母版!$A$5:$A$191,字段母版!$A$45)&gt;1,字段母版!$A$45,"")</f>
        <v/>
      </c>
      <c r="B311" s="24" t="str">
        <f>IF(A311="","",字段母版!$C$45)</f>
        <v/>
      </c>
      <c r="C311" s="24" t="str">
        <f>IF(A311="","",字段母版!$G$45)</f>
        <v/>
      </c>
      <c r="D311" s="24" t="str">
        <f t="shared" si="5"/>
        <v/>
      </c>
    </row>
    <row r="312" spans="1:4" x14ac:dyDescent="0.25">
      <c r="A312" s="24" t="str">
        <f>IF(COUNTIF(字段母版!$A$5:$A$191,字段母版!$A$46)&gt;1,字段母版!$A$46,"")</f>
        <v/>
      </c>
      <c r="B312" s="24" t="str">
        <f>IF(A312="","",字段母版!$C$46)</f>
        <v/>
      </c>
      <c r="C312" s="24" t="str">
        <f>IF(A312="","",字段母版!$G$46)</f>
        <v/>
      </c>
      <c r="D312" s="24" t="str">
        <f t="shared" si="5"/>
        <v/>
      </c>
    </row>
    <row r="313" spans="1:4" x14ac:dyDescent="0.25">
      <c r="A313" s="24" t="str">
        <f>IF(COUNTIF(字段母版!$A$5:$A$191,字段母版!$A$47)&gt;1,字段母版!$A$47,"")</f>
        <v/>
      </c>
      <c r="B313" s="24" t="str">
        <f>IF(A313="","",字段母版!$C$47)</f>
        <v/>
      </c>
      <c r="C313" s="24" t="str">
        <f>IF(A313="","",字段母版!$G$47)</f>
        <v/>
      </c>
      <c r="D313" s="24" t="str">
        <f t="shared" si="5"/>
        <v/>
      </c>
    </row>
    <row r="314" spans="1:4" x14ac:dyDescent="0.25">
      <c r="A314" s="24" t="str">
        <f>IF(COUNTIF(字段母版!$A$5:$A$191,字段母版!$A$48)&gt;1,字段母版!$A$48,"")</f>
        <v/>
      </c>
      <c r="B314" s="24" t="str">
        <f>IF(A314="","",字段母版!$C$48)</f>
        <v/>
      </c>
      <c r="C314" s="24" t="str">
        <f>IF(A314="","",字段母版!$G$48)</f>
        <v/>
      </c>
      <c r="D314" s="24" t="str">
        <f t="shared" si="5"/>
        <v/>
      </c>
    </row>
    <row r="315" spans="1:4" x14ac:dyDescent="0.25">
      <c r="A315" s="24" t="str">
        <f>IF(COUNTIF(字段母版!$A$5:$A$191,字段母版!$A$49)&gt;1,字段母版!$A$49,"")</f>
        <v/>
      </c>
      <c r="B315" s="24" t="str">
        <f>IF(A315="","",字段母版!$C$49)</f>
        <v/>
      </c>
      <c r="C315" s="24" t="str">
        <f>IF(A315="","",字段母版!$G$49)</f>
        <v/>
      </c>
      <c r="D315" s="24" t="str">
        <f t="shared" si="5"/>
        <v/>
      </c>
    </row>
    <row r="316" spans="1:4" x14ac:dyDescent="0.25">
      <c r="A316" s="24" t="str">
        <f>IF(COUNTIF(字段母版!$A$5:$A$191,字段母版!$A$50)&gt;1,字段母版!$A$50,"")</f>
        <v/>
      </c>
      <c r="B316" s="24" t="str">
        <f>IF(A316="","",字段母版!$C$50)</f>
        <v/>
      </c>
      <c r="C316" s="24" t="str">
        <f>IF(A316="","",字段母版!$G$50)</f>
        <v/>
      </c>
      <c r="D316" s="24" t="str">
        <f t="shared" si="5"/>
        <v/>
      </c>
    </row>
    <row r="317" spans="1:4" x14ac:dyDescent="0.25">
      <c r="A317" s="24" t="str">
        <f>IF(COUNTIF(字段母版!$A$5:$A$191,字段母版!$A$51)&gt;1,字段母版!$A$51,"")</f>
        <v/>
      </c>
      <c r="B317" s="24" t="str">
        <f>IF(A317="","",字段母版!$C$51)</f>
        <v/>
      </c>
      <c r="C317" s="24" t="str">
        <f>IF(A317="","",字段母版!$G$51)</f>
        <v/>
      </c>
      <c r="D317" s="24" t="str">
        <f t="shared" si="5"/>
        <v/>
      </c>
    </row>
    <row r="318" spans="1:4" x14ac:dyDescent="0.25">
      <c r="A318" s="24" t="str">
        <f>IF(COUNTIF(字段母版!$A$5:$A$191,字段母版!$A$52)&gt;1,字段母版!$A$52,"")</f>
        <v/>
      </c>
      <c r="B318" s="24" t="str">
        <f>IF(A318="","",字段母版!$C$52)</f>
        <v/>
      </c>
      <c r="C318" s="24" t="str">
        <f>IF(A318="","",字段母版!$G$52)</f>
        <v/>
      </c>
      <c r="D318" s="24" t="str">
        <f t="shared" si="5"/>
        <v/>
      </c>
    </row>
    <row r="319" spans="1:4" x14ac:dyDescent="0.25">
      <c r="A319" s="24" t="str">
        <f>IF(COUNTIF(字段母版!$A$5:$A$191,字段母版!$A$53)&gt;1,字段母版!$A$53,"")</f>
        <v/>
      </c>
      <c r="B319" s="24" t="str">
        <f>IF(A319="","",字段母版!$C$53)</f>
        <v/>
      </c>
      <c r="C319" s="24" t="str">
        <f>IF(A319="","",字段母版!$G$53)</f>
        <v/>
      </c>
      <c r="D319" s="24" t="str">
        <f t="shared" si="5"/>
        <v/>
      </c>
    </row>
    <row r="320" spans="1:4" x14ac:dyDescent="0.25">
      <c r="A320" s="24" t="str">
        <f>IF(COUNTIF(字段母版!$A$5:$A$191,字段母版!$A$54)&gt;1,字段母版!$A$54,"")</f>
        <v/>
      </c>
      <c r="B320" s="24" t="str">
        <f>IF(A320="","",字段母版!$C$54)</f>
        <v/>
      </c>
      <c r="C320" s="24" t="str">
        <f>IF(A320="","",字段母版!$G$54)</f>
        <v/>
      </c>
      <c r="D320" s="24" t="str">
        <f t="shared" si="5"/>
        <v/>
      </c>
    </row>
    <row r="321" spans="1:4" x14ac:dyDescent="0.25">
      <c r="A321" s="24" t="str">
        <f>IF(COUNTIF(字段母版!$A$5:$A$191,字段母版!$A$55)&gt;1,字段母版!$A$55,"")</f>
        <v/>
      </c>
      <c r="B321" s="24" t="str">
        <f>IF(A321="","",字段母版!$C$55)</f>
        <v/>
      </c>
      <c r="C321" s="24" t="str">
        <f>IF(A321="","",字段母版!$G$55)</f>
        <v/>
      </c>
      <c r="D321" s="24" t="str">
        <f t="shared" si="5"/>
        <v/>
      </c>
    </row>
    <row r="322" spans="1:4" x14ac:dyDescent="0.25">
      <c r="A322" s="24" t="str">
        <f>IF(COUNTIF(字段母版!$A$5:$A$191,字段母版!$A$56)&gt;1,字段母版!$A$56,"")</f>
        <v/>
      </c>
      <c r="B322" s="24" t="str">
        <f>IF(A322="","",字段母版!$C$56)</f>
        <v/>
      </c>
      <c r="C322" s="24" t="str">
        <f>IF(A322="","",字段母版!$G$56)</f>
        <v/>
      </c>
      <c r="D322" s="24" t="str">
        <f t="shared" si="5"/>
        <v/>
      </c>
    </row>
    <row r="323" spans="1:4" x14ac:dyDescent="0.25">
      <c r="A323" s="24" t="str">
        <f>IF(COUNTIF(字段母版!$A$5:$A$191,字段母版!$A$57)&gt;1,字段母版!$A$57,"")</f>
        <v/>
      </c>
      <c r="B323" s="24" t="str">
        <f>IF(A323="","",字段母版!$C$57)</f>
        <v/>
      </c>
      <c r="C323" s="24" t="str">
        <f>IF(A323="","",字段母版!$G$57)</f>
        <v/>
      </c>
      <c r="D323" s="24" t="str">
        <f t="shared" si="5"/>
        <v/>
      </c>
    </row>
    <row r="324" spans="1:4" x14ac:dyDescent="0.25">
      <c r="A324" s="24" t="str">
        <f>IF(COUNTIF(字段母版!$A$5:$A$191,字段母版!$A$58)&gt;1,字段母版!$A$58,"")</f>
        <v/>
      </c>
      <c r="B324" s="24" t="str">
        <f>IF(A324="","",字段母版!$C$58)</f>
        <v/>
      </c>
      <c r="C324" s="24" t="str">
        <f>IF(A324="","",字段母版!$G$58)</f>
        <v/>
      </c>
      <c r="D324" s="24" t="str">
        <f t="shared" si="5"/>
        <v/>
      </c>
    </row>
    <row r="325" spans="1:4" x14ac:dyDescent="0.25">
      <c r="A325" s="24" t="str">
        <f>IF(COUNTIF(字段母版!$A$5:$A$191,字段母版!$A$59)&gt;1,字段母版!$A$59,"")</f>
        <v/>
      </c>
      <c r="B325" s="24" t="str">
        <f>IF(A325="","",字段母版!$C$59)</f>
        <v/>
      </c>
      <c r="C325" s="24" t="str">
        <f>IF(A325="","",字段母版!$G$59)</f>
        <v/>
      </c>
      <c r="D325" s="24" t="str">
        <f t="shared" si="5"/>
        <v/>
      </c>
    </row>
    <row r="326" spans="1:4" x14ac:dyDescent="0.25">
      <c r="A326" s="24" t="str">
        <f>IF(COUNTIF(字段母版!$A$5:$A$191,字段母版!$A$60)&gt;1,字段母版!$A$60,"")</f>
        <v/>
      </c>
      <c r="B326" s="24" t="str">
        <f>IF(A326="","",字段母版!$C$60)</f>
        <v/>
      </c>
      <c r="C326" s="24" t="str">
        <f>IF(A326="","",字段母版!$G$60)</f>
        <v/>
      </c>
      <c r="D326" s="24" t="str">
        <f t="shared" si="5"/>
        <v/>
      </c>
    </row>
    <row r="327" spans="1:4" x14ac:dyDescent="0.25">
      <c r="A327" s="24" t="str">
        <f>IF(COUNTIF(字段母版!$A$5:$A$191,字段母版!$A$61)&gt;1,字段母版!$A$61,"")</f>
        <v/>
      </c>
      <c r="B327" s="24" t="str">
        <f>IF(A327="","",字段母版!$C$61)</f>
        <v/>
      </c>
      <c r="C327" s="24" t="str">
        <f>IF(A327="","",字段母版!$G$61)</f>
        <v/>
      </c>
      <c r="D327" s="24" t="str">
        <f t="shared" si="5"/>
        <v/>
      </c>
    </row>
    <row r="328" spans="1:4" x14ac:dyDescent="0.25">
      <c r="A328" s="24" t="str">
        <f>IF(COUNTIF(字段母版!$A$5:$A$191,字段母版!$A$62)&gt;1,字段母版!$A$62,"")</f>
        <v/>
      </c>
      <c r="B328" s="24" t="str">
        <f>IF(A328="","",字段母版!$C$62)</f>
        <v/>
      </c>
      <c r="C328" s="24" t="str">
        <f>IF(A328="","",字段母版!$G$62)</f>
        <v/>
      </c>
      <c r="D328" s="24" t="str">
        <f t="shared" si="5"/>
        <v/>
      </c>
    </row>
    <row r="329" spans="1:4" x14ac:dyDescent="0.25">
      <c r="A329" s="24" t="str">
        <f>IF(COUNTIF(字段母版!$A$5:$A$191,字段母版!$A$63)&gt;1,字段母版!$A$63,"")</f>
        <v/>
      </c>
      <c r="B329" s="24" t="str">
        <f>IF(A329="","",字段母版!$C$63)</f>
        <v/>
      </c>
      <c r="C329" s="24" t="str">
        <f>IF(A329="","",字段母版!$G$63)</f>
        <v/>
      </c>
      <c r="D329" s="24" t="str">
        <f t="shared" si="5"/>
        <v/>
      </c>
    </row>
    <row r="330" spans="1:4" x14ac:dyDescent="0.25">
      <c r="A330" s="24" t="str">
        <f>IF(COUNTIF(字段母版!$A$5:$A$191,字段母版!$A$64)&gt;1,字段母版!$A$64,"")</f>
        <v/>
      </c>
      <c r="B330" s="24" t="str">
        <f>IF(A330="","",字段母版!$C$64)</f>
        <v/>
      </c>
      <c r="C330" s="24" t="str">
        <f>IF(A330="","",字段母版!$G$64)</f>
        <v/>
      </c>
      <c r="D330" s="24" t="str">
        <f t="shared" si="5"/>
        <v/>
      </c>
    </row>
    <row r="331" spans="1:4" x14ac:dyDescent="0.25">
      <c r="A331" s="24" t="str">
        <f>IF(COUNTIF(字段母版!$A$5:$A$191,字段母版!$A$65)&gt;1,字段母版!$A$65,"")</f>
        <v/>
      </c>
      <c r="B331" s="24" t="str">
        <f>IF(A331="","",字段母版!$C$65)</f>
        <v/>
      </c>
      <c r="C331" s="24" t="str">
        <f>IF(A331="","",字段母版!$G$65)</f>
        <v/>
      </c>
      <c r="D331" s="24" t="str">
        <f t="shared" si="5"/>
        <v/>
      </c>
    </row>
    <row r="332" spans="1:4" x14ac:dyDescent="0.25">
      <c r="A332" s="24" t="str">
        <f>IF(COUNTIF(字段母版!$A$5:$A$191,字段母版!$A$66)&gt;1,字段母版!$A$66,"")</f>
        <v/>
      </c>
      <c r="B332" s="24" t="str">
        <f>IF(A332="","",字段母版!$C$66)</f>
        <v/>
      </c>
      <c r="C332" s="24" t="str">
        <f>IF(A332="","",字段母版!$G$66)</f>
        <v/>
      </c>
      <c r="D332" s="24" t="str">
        <f t="shared" si="5"/>
        <v/>
      </c>
    </row>
    <row r="333" spans="1:4" x14ac:dyDescent="0.25">
      <c r="A333" s="24" t="str">
        <f>IF(COUNTIF(字段母版!$A$5:$A$191,字段母版!$A$67)&gt;1,字段母版!$A$67,"")</f>
        <v/>
      </c>
      <c r="B333" s="24" t="str">
        <f>IF(A333="","",字段母版!$C$67)</f>
        <v/>
      </c>
      <c r="C333" s="24" t="str">
        <f>IF(A333="","",字段母版!$G$67)</f>
        <v/>
      </c>
      <c r="D333" s="24" t="str">
        <f t="shared" si="5"/>
        <v/>
      </c>
    </row>
    <row r="334" spans="1:4" x14ac:dyDescent="0.25">
      <c r="A334" s="24" t="str">
        <f>IF(COUNTIF(字段母版!$A$5:$A$191,字段母版!$A$68)&gt;1,字段母版!$A$68,"")</f>
        <v/>
      </c>
      <c r="B334" s="24" t="str">
        <f>IF(A334="","",字段母版!$C$68)</f>
        <v/>
      </c>
      <c r="C334" s="24" t="str">
        <f>IF(A334="","",字段母版!$G$68)</f>
        <v/>
      </c>
      <c r="D334" s="24" t="str">
        <f t="shared" si="5"/>
        <v/>
      </c>
    </row>
    <row r="335" spans="1:4" x14ac:dyDescent="0.25">
      <c r="A335" s="24" t="str">
        <f>IF(COUNTIF(字段母版!$A$5:$A$191,字段母版!$A$69)&gt;1,字段母版!$A$69,"")</f>
        <v/>
      </c>
      <c r="B335" s="24" t="str">
        <f>IF(A335="","",字段母版!$C$69)</f>
        <v/>
      </c>
      <c r="C335" s="24" t="str">
        <f>IF(A335="","",字段母版!$G$69)</f>
        <v/>
      </c>
      <c r="D335" s="24" t="str">
        <f t="shared" ref="D335:D366" si="6">IF(A335="","","重复 field_id")</f>
        <v/>
      </c>
    </row>
    <row r="336" spans="1:4" x14ac:dyDescent="0.25">
      <c r="A336" s="24" t="str">
        <f>IF(COUNTIF(字段母版!$A$5:$A$191,字段母版!$A$70)&gt;1,字段母版!$A$70,"")</f>
        <v/>
      </c>
      <c r="B336" s="24" t="str">
        <f>IF(A336="","",字段母版!$C$70)</f>
        <v/>
      </c>
      <c r="C336" s="24" t="str">
        <f>IF(A336="","",字段母版!$G$70)</f>
        <v/>
      </c>
      <c r="D336" s="24" t="str">
        <f t="shared" si="6"/>
        <v/>
      </c>
    </row>
    <row r="337" spans="1:4" x14ac:dyDescent="0.25">
      <c r="A337" s="24" t="str">
        <f>IF(COUNTIF(字段母版!$A$5:$A$191,字段母版!$A$71)&gt;1,字段母版!$A$71,"")</f>
        <v/>
      </c>
      <c r="B337" s="24" t="str">
        <f>IF(A337="","",字段母版!$C$71)</f>
        <v/>
      </c>
      <c r="C337" s="24" t="str">
        <f>IF(A337="","",字段母版!$G$71)</f>
        <v/>
      </c>
      <c r="D337" s="24" t="str">
        <f t="shared" si="6"/>
        <v/>
      </c>
    </row>
    <row r="338" spans="1:4" x14ac:dyDescent="0.25">
      <c r="A338" s="24" t="str">
        <f>IF(COUNTIF(字段母版!$A$5:$A$191,字段母版!$A$72)&gt;1,字段母版!$A$72,"")</f>
        <v/>
      </c>
      <c r="B338" s="24" t="str">
        <f>IF(A338="","",字段母版!$C$72)</f>
        <v/>
      </c>
      <c r="C338" s="24" t="str">
        <f>IF(A338="","",字段母版!$G$72)</f>
        <v/>
      </c>
      <c r="D338" s="24" t="str">
        <f t="shared" si="6"/>
        <v/>
      </c>
    </row>
    <row r="339" spans="1:4" x14ac:dyDescent="0.25">
      <c r="A339" s="24" t="str">
        <f>IF(COUNTIF(字段母版!$A$5:$A$191,字段母版!$A$73)&gt;1,字段母版!$A$73,"")</f>
        <v/>
      </c>
      <c r="B339" s="24" t="str">
        <f>IF(A339="","",字段母版!$C$73)</f>
        <v/>
      </c>
      <c r="C339" s="24" t="str">
        <f>IF(A339="","",字段母版!$G$73)</f>
        <v/>
      </c>
      <c r="D339" s="24" t="str">
        <f t="shared" si="6"/>
        <v/>
      </c>
    </row>
    <row r="340" spans="1:4" x14ac:dyDescent="0.25">
      <c r="A340" s="24" t="str">
        <f>IF(COUNTIF(字段母版!$A$5:$A$191,字段母版!$A$74)&gt;1,字段母版!$A$74,"")</f>
        <v/>
      </c>
      <c r="B340" s="24" t="str">
        <f>IF(A340="","",字段母版!$C$74)</f>
        <v/>
      </c>
      <c r="C340" s="24" t="str">
        <f>IF(A340="","",字段母版!$G$74)</f>
        <v/>
      </c>
      <c r="D340" s="24" t="str">
        <f t="shared" si="6"/>
        <v/>
      </c>
    </row>
    <row r="341" spans="1:4" x14ac:dyDescent="0.25">
      <c r="A341" s="24" t="str">
        <f>IF(COUNTIF(字段母版!$A$5:$A$191,字段母版!$A$75)&gt;1,字段母版!$A$75,"")</f>
        <v/>
      </c>
      <c r="B341" s="24" t="str">
        <f>IF(A341="","",字段母版!$C$75)</f>
        <v/>
      </c>
      <c r="C341" s="24" t="str">
        <f>IF(A341="","",字段母版!$G$75)</f>
        <v/>
      </c>
      <c r="D341" s="24" t="str">
        <f t="shared" si="6"/>
        <v/>
      </c>
    </row>
    <row r="342" spans="1:4" x14ac:dyDescent="0.25">
      <c r="A342" s="24" t="str">
        <f>IF(COUNTIF(字段母版!$A$5:$A$191,字段母版!$A$76)&gt;1,字段母版!$A$76,"")</f>
        <v/>
      </c>
      <c r="B342" s="24" t="str">
        <f>IF(A342="","",字段母版!$C$76)</f>
        <v/>
      </c>
      <c r="C342" s="24" t="str">
        <f>IF(A342="","",字段母版!$G$76)</f>
        <v/>
      </c>
      <c r="D342" s="24" t="str">
        <f t="shared" si="6"/>
        <v/>
      </c>
    </row>
    <row r="343" spans="1:4" x14ac:dyDescent="0.25">
      <c r="A343" s="24" t="str">
        <f>IF(COUNTIF(字段母版!$A$5:$A$191,字段母版!$A$77)&gt;1,字段母版!$A$77,"")</f>
        <v/>
      </c>
      <c r="B343" s="24" t="str">
        <f>IF(A343="","",字段母版!$C$77)</f>
        <v/>
      </c>
      <c r="C343" s="24" t="str">
        <f>IF(A343="","",字段母版!$G$77)</f>
        <v/>
      </c>
      <c r="D343" s="24" t="str">
        <f t="shared" si="6"/>
        <v/>
      </c>
    </row>
    <row r="344" spans="1:4" x14ac:dyDescent="0.25">
      <c r="A344" s="24" t="str">
        <f>IF(COUNTIF(字段母版!$A$5:$A$191,字段母版!$A$78)&gt;1,字段母版!$A$78,"")</f>
        <v/>
      </c>
      <c r="B344" s="24" t="str">
        <f>IF(A344="","",字段母版!$C$78)</f>
        <v/>
      </c>
      <c r="C344" s="24" t="str">
        <f>IF(A344="","",字段母版!$G$78)</f>
        <v/>
      </c>
      <c r="D344" s="24" t="str">
        <f t="shared" si="6"/>
        <v/>
      </c>
    </row>
    <row r="345" spans="1:4" x14ac:dyDescent="0.25">
      <c r="A345" s="24" t="str">
        <f>IF(COUNTIF(字段母版!$A$5:$A$191,字段母版!$A$79)&gt;1,字段母版!$A$79,"")</f>
        <v/>
      </c>
      <c r="B345" s="24" t="str">
        <f>IF(A345="","",字段母版!$C$79)</f>
        <v/>
      </c>
      <c r="C345" s="24" t="str">
        <f>IF(A345="","",字段母版!$G$79)</f>
        <v/>
      </c>
      <c r="D345" s="24" t="str">
        <f t="shared" si="6"/>
        <v/>
      </c>
    </row>
    <row r="346" spans="1:4" x14ac:dyDescent="0.25">
      <c r="A346" s="24" t="str">
        <f>IF(COUNTIF(字段母版!$A$5:$A$191,字段母版!$A$80)&gt;1,字段母版!$A$80,"")</f>
        <v/>
      </c>
      <c r="B346" s="24" t="str">
        <f>IF(A346="","",字段母版!$C$80)</f>
        <v/>
      </c>
      <c r="C346" s="24" t="str">
        <f>IF(A346="","",字段母版!$G$80)</f>
        <v/>
      </c>
      <c r="D346" s="24" t="str">
        <f t="shared" si="6"/>
        <v/>
      </c>
    </row>
    <row r="347" spans="1:4" x14ac:dyDescent="0.25">
      <c r="A347" s="24" t="str">
        <f>IF(COUNTIF(字段母版!$A$5:$A$191,字段母版!$A$81)&gt;1,字段母版!$A$81,"")</f>
        <v/>
      </c>
      <c r="B347" s="24" t="str">
        <f>IF(A347="","",字段母版!$C$81)</f>
        <v/>
      </c>
      <c r="C347" s="24" t="str">
        <f>IF(A347="","",字段母版!$G$81)</f>
        <v/>
      </c>
      <c r="D347" s="24" t="str">
        <f t="shared" si="6"/>
        <v/>
      </c>
    </row>
    <row r="348" spans="1:4" x14ac:dyDescent="0.25">
      <c r="A348" s="24" t="str">
        <f>IF(COUNTIF(字段母版!$A$5:$A$191,字段母版!$A$82)&gt;1,字段母版!$A$82,"")</f>
        <v/>
      </c>
      <c r="B348" s="24" t="str">
        <f>IF(A348="","",字段母版!$C$82)</f>
        <v/>
      </c>
      <c r="C348" s="24" t="str">
        <f>IF(A348="","",字段母版!$G$82)</f>
        <v/>
      </c>
      <c r="D348" s="24" t="str">
        <f t="shared" si="6"/>
        <v/>
      </c>
    </row>
    <row r="349" spans="1:4" x14ac:dyDescent="0.25">
      <c r="A349" s="24" t="str">
        <f>IF(COUNTIF(字段母版!$A$5:$A$191,字段母版!$A$83)&gt;1,字段母版!$A$83,"")</f>
        <v/>
      </c>
      <c r="B349" s="24" t="str">
        <f>IF(A349="","",字段母版!$C$83)</f>
        <v/>
      </c>
      <c r="C349" s="24" t="str">
        <f>IF(A349="","",字段母版!$G$83)</f>
        <v/>
      </c>
      <c r="D349" s="24" t="str">
        <f t="shared" si="6"/>
        <v/>
      </c>
    </row>
    <row r="350" spans="1:4" x14ac:dyDescent="0.25">
      <c r="A350" s="24" t="str">
        <f>IF(COUNTIF(字段母版!$A$5:$A$191,字段母版!$A$84)&gt;1,字段母版!$A$84,"")</f>
        <v/>
      </c>
      <c r="B350" s="24" t="str">
        <f>IF(A350="","",字段母版!$C$84)</f>
        <v/>
      </c>
      <c r="C350" s="24" t="str">
        <f>IF(A350="","",字段母版!$G$84)</f>
        <v/>
      </c>
      <c r="D350" s="24" t="str">
        <f t="shared" si="6"/>
        <v/>
      </c>
    </row>
    <row r="351" spans="1:4" x14ac:dyDescent="0.25">
      <c r="A351" s="24" t="str">
        <f>IF(COUNTIF(字段母版!$A$5:$A$191,字段母版!$A$85)&gt;1,字段母版!$A$85,"")</f>
        <v/>
      </c>
      <c r="B351" s="24" t="str">
        <f>IF(A351="","",字段母版!$C$85)</f>
        <v/>
      </c>
      <c r="C351" s="24" t="str">
        <f>IF(A351="","",字段母版!$G$85)</f>
        <v/>
      </c>
      <c r="D351" s="24" t="str">
        <f t="shared" si="6"/>
        <v/>
      </c>
    </row>
    <row r="352" spans="1:4" x14ac:dyDescent="0.25">
      <c r="A352" s="24" t="str">
        <f>IF(COUNTIF(字段母版!$A$5:$A$191,字段母版!$A$86)&gt;1,字段母版!$A$86,"")</f>
        <v/>
      </c>
      <c r="B352" s="24" t="str">
        <f>IF(A352="","",字段母版!$C$86)</f>
        <v/>
      </c>
      <c r="C352" s="24" t="str">
        <f>IF(A352="","",字段母版!$G$86)</f>
        <v/>
      </c>
      <c r="D352" s="24" t="str">
        <f t="shared" si="6"/>
        <v/>
      </c>
    </row>
    <row r="353" spans="1:4" x14ac:dyDescent="0.25">
      <c r="A353" s="24" t="str">
        <f>IF(COUNTIF(字段母版!$A$5:$A$191,字段母版!$A$87)&gt;1,字段母版!$A$87,"")</f>
        <v/>
      </c>
      <c r="B353" s="24" t="str">
        <f>IF(A353="","",字段母版!$C$87)</f>
        <v/>
      </c>
      <c r="C353" s="24" t="str">
        <f>IF(A353="","",字段母版!$G$87)</f>
        <v/>
      </c>
      <c r="D353" s="24" t="str">
        <f t="shared" si="6"/>
        <v/>
      </c>
    </row>
    <row r="354" spans="1:4" x14ac:dyDescent="0.25">
      <c r="A354" s="24" t="str">
        <f>IF(COUNTIF(字段母版!$A$5:$A$191,字段母版!$A$88)&gt;1,字段母版!$A$88,"")</f>
        <v/>
      </c>
      <c r="B354" s="24" t="str">
        <f>IF(A354="","",字段母版!$C$88)</f>
        <v/>
      </c>
      <c r="C354" s="24" t="str">
        <f>IF(A354="","",字段母版!$G$88)</f>
        <v/>
      </c>
      <c r="D354" s="24" t="str">
        <f t="shared" si="6"/>
        <v/>
      </c>
    </row>
    <row r="355" spans="1:4" x14ac:dyDescent="0.25">
      <c r="A355" s="24" t="str">
        <f>IF(COUNTIF(字段母版!$A$5:$A$191,字段母版!$A$89)&gt;1,字段母版!$A$89,"")</f>
        <v/>
      </c>
      <c r="B355" s="24" t="str">
        <f>IF(A355="","",字段母版!$C$89)</f>
        <v/>
      </c>
      <c r="C355" s="24" t="str">
        <f>IF(A355="","",字段母版!$G$89)</f>
        <v/>
      </c>
      <c r="D355" s="24" t="str">
        <f t="shared" si="6"/>
        <v/>
      </c>
    </row>
    <row r="356" spans="1:4" x14ac:dyDescent="0.25">
      <c r="A356" s="24" t="str">
        <f>IF(COUNTIF(字段母版!$A$5:$A$191,字段母版!$A$90)&gt;1,字段母版!$A$90,"")</f>
        <v/>
      </c>
      <c r="B356" s="24" t="str">
        <f>IF(A356="","",字段母版!$C$90)</f>
        <v/>
      </c>
      <c r="C356" s="24" t="str">
        <f>IF(A356="","",字段母版!$G$90)</f>
        <v/>
      </c>
      <c r="D356" s="24" t="str">
        <f t="shared" si="6"/>
        <v/>
      </c>
    </row>
    <row r="357" spans="1:4" x14ac:dyDescent="0.25">
      <c r="A357" s="24" t="str">
        <f>IF(COUNTIF(字段母版!$A$5:$A$191,字段母版!$A$91)&gt;1,字段母版!$A$91,"")</f>
        <v/>
      </c>
      <c r="B357" s="24" t="str">
        <f>IF(A357="","",字段母版!$C$91)</f>
        <v/>
      </c>
      <c r="C357" s="24" t="str">
        <f>IF(A357="","",字段母版!$G$91)</f>
        <v/>
      </c>
      <c r="D357" s="24" t="str">
        <f t="shared" si="6"/>
        <v/>
      </c>
    </row>
    <row r="358" spans="1:4" x14ac:dyDescent="0.25">
      <c r="A358" s="24" t="str">
        <f>IF(COUNTIF(字段母版!$A$5:$A$191,字段母版!$A$92)&gt;1,字段母版!$A$92,"")</f>
        <v/>
      </c>
      <c r="B358" s="24" t="str">
        <f>IF(A358="","",字段母版!$C$92)</f>
        <v/>
      </c>
      <c r="C358" s="24" t="str">
        <f>IF(A358="","",字段母版!$G$92)</f>
        <v/>
      </c>
      <c r="D358" s="24" t="str">
        <f t="shared" si="6"/>
        <v/>
      </c>
    </row>
    <row r="359" spans="1:4" x14ac:dyDescent="0.25">
      <c r="A359" s="24" t="str">
        <f>IF(COUNTIF(字段母版!$A$5:$A$191,字段母版!$A$93)&gt;1,字段母版!$A$93,"")</f>
        <v/>
      </c>
      <c r="B359" s="24" t="str">
        <f>IF(A359="","",字段母版!$C$93)</f>
        <v/>
      </c>
      <c r="C359" s="24" t="str">
        <f>IF(A359="","",字段母版!$G$93)</f>
        <v/>
      </c>
      <c r="D359" s="24" t="str">
        <f t="shared" si="6"/>
        <v/>
      </c>
    </row>
    <row r="360" spans="1:4" x14ac:dyDescent="0.25">
      <c r="A360" s="24" t="str">
        <f>IF(COUNTIF(字段母版!$A$5:$A$191,字段母版!$A$94)&gt;1,字段母版!$A$94,"")</f>
        <v/>
      </c>
      <c r="B360" s="24" t="str">
        <f>IF(A360="","",字段母版!$C$94)</f>
        <v/>
      </c>
      <c r="C360" s="24" t="str">
        <f>IF(A360="","",字段母版!$G$94)</f>
        <v/>
      </c>
      <c r="D360" s="24" t="str">
        <f t="shared" si="6"/>
        <v/>
      </c>
    </row>
    <row r="361" spans="1:4" x14ac:dyDescent="0.25">
      <c r="A361" s="24" t="str">
        <f>IF(COUNTIF(字段母版!$A$5:$A$191,字段母版!$A$95)&gt;1,字段母版!$A$95,"")</f>
        <v/>
      </c>
      <c r="B361" s="24" t="str">
        <f>IF(A361="","",字段母版!$C$95)</f>
        <v/>
      </c>
      <c r="C361" s="24" t="str">
        <f>IF(A361="","",字段母版!$G$95)</f>
        <v/>
      </c>
      <c r="D361" s="24" t="str">
        <f t="shared" si="6"/>
        <v/>
      </c>
    </row>
    <row r="362" spans="1:4" x14ac:dyDescent="0.25">
      <c r="A362" s="24" t="str">
        <f>IF(COUNTIF(字段母版!$A$5:$A$191,字段母版!$A$96)&gt;1,字段母版!$A$96,"")</f>
        <v/>
      </c>
      <c r="B362" s="24" t="str">
        <f>IF(A362="","",字段母版!$C$96)</f>
        <v/>
      </c>
      <c r="C362" s="24" t="str">
        <f>IF(A362="","",字段母版!$G$96)</f>
        <v/>
      </c>
      <c r="D362" s="24" t="str">
        <f t="shared" si="6"/>
        <v/>
      </c>
    </row>
    <row r="363" spans="1:4" x14ac:dyDescent="0.25">
      <c r="A363" s="24" t="str">
        <f>IF(COUNTIF(字段母版!$A$5:$A$191,字段母版!$A$97)&gt;1,字段母版!$A$97,"")</f>
        <v/>
      </c>
      <c r="B363" s="24" t="str">
        <f>IF(A363="","",字段母版!$C$97)</f>
        <v/>
      </c>
      <c r="C363" s="24" t="str">
        <f>IF(A363="","",字段母版!$G$97)</f>
        <v/>
      </c>
      <c r="D363" s="24" t="str">
        <f t="shared" si="6"/>
        <v/>
      </c>
    </row>
    <row r="364" spans="1:4" x14ac:dyDescent="0.25">
      <c r="A364" s="24" t="str">
        <f>IF(COUNTIF(字段母版!$A$5:$A$191,字段母版!$A$98)&gt;1,字段母版!$A$98,"")</f>
        <v/>
      </c>
      <c r="B364" s="24" t="str">
        <f>IF(A364="","",字段母版!$C$98)</f>
        <v/>
      </c>
      <c r="C364" s="24" t="str">
        <f>IF(A364="","",字段母版!$G$98)</f>
        <v/>
      </c>
      <c r="D364" s="24" t="str">
        <f t="shared" si="6"/>
        <v/>
      </c>
    </row>
    <row r="365" spans="1:4" x14ac:dyDescent="0.25">
      <c r="A365" s="24" t="str">
        <f>IF(COUNTIF(字段母版!$A$5:$A$191,字段母版!$A$99)&gt;1,字段母版!$A$99,"")</f>
        <v/>
      </c>
      <c r="B365" s="24" t="str">
        <f>IF(A365="","",字段母版!$C$99)</f>
        <v/>
      </c>
      <c r="C365" s="24" t="str">
        <f>IF(A365="","",字段母版!$G$99)</f>
        <v/>
      </c>
      <c r="D365" s="24" t="str">
        <f t="shared" si="6"/>
        <v/>
      </c>
    </row>
    <row r="366" spans="1:4" x14ac:dyDescent="0.25">
      <c r="A366" s="24" t="str">
        <f>IF(COUNTIF(字段母版!$A$5:$A$191,字段母版!$A$100)&gt;1,字段母版!$A$100,"")</f>
        <v/>
      </c>
      <c r="B366" s="24" t="str">
        <f>IF(A366="","",字段母版!$C$100)</f>
        <v/>
      </c>
      <c r="C366" s="24" t="str">
        <f>IF(A366="","",字段母版!$G$100)</f>
        <v/>
      </c>
      <c r="D366" s="24" t="str">
        <f t="shared" si="6"/>
        <v/>
      </c>
    </row>
    <row r="367" spans="1:4" x14ac:dyDescent="0.25">
      <c r="A367" s="24" t="str">
        <f>IF(COUNTIF(字段母版!$A$5:$A$191,字段母版!$A$101)&gt;1,字段母版!$A$101,"")</f>
        <v/>
      </c>
      <c r="B367" s="24" t="str">
        <f>IF(A367="","",字段母版!$C$101)</f>
        <v/>
      </c>
      <c r="C367" s="24" t="str">
        <f>IF(A367="","",字段母版!$G$101)</f>
        <v/>
      </c>
      <c r="D367" s="24" t="str">
        <f t="shared" ref="D367:D398" si="7">IF(A367="","","重复 field_id")</f>
        <v/>
      </c>
    </row>
    <row r="368" spans="1:4" x14ac:dyDescent="0.25">
      <c r="A368" s="24" t="str">
        <f>IF(COUNTIF(字段母版!$A$5:$A$191,字段母版!$A$102)&gt;1,字段母版!$A$102,"")</f>
        <v/>
      </c>
      <c r="B368" s="24" t="str">
        <f>IF(A368="","",字段母版!$C$102)</f>
        <v/>
      </c>
      <c r="C368" s="24" t="str">
        <f>IF(A368="","",字段母版!$G$102)</f>
        <v/>
      </c>
      <c r="D368" s="24" t="str">
        <f t="shared" si="7"/>
        <v/>
      </c>
    </row>
    <row r="369" spans="1:4" x14ac:dyDescent="0.25">
      <c r="A369" s="24" t="str">
        <f>IF(COUNTIF(字段母版!$A$5:$A$191,字段母版!$A$103)&gt;1,字段母版!$A$103,"")</f>
        <v/>
      </c>
      <c r="B369" s="24" t="str">
        <f>IF(A369="","",字段母版!$C$103)</f>
        <v/>
      </c>
      <c r="C369" s="24" t="str">
        <f>IF(A369="","",字段母版!$G$103)</f>
        <v/>
      </c>
      <c r="D369" s="24" t="str">
        <f t="shared" si="7"/>
        <v/>
      </c>
    </row>
    <row r="370" spans="1:4" x14ac:dyDescent="0.25">
      <c r="A370" s="24" t="str">
        <f>IF(COUNTIF(字段母版!$A$5:$A$191,字段母版!$A$104)&gt;1,字段母版!$A$104,"")</f>
        <v/>
      </c>
      <c r="B370" s="24" t="str">
        <f>IF(A370="","",字段母版!$C$104)</f>
        <v/>
      </c>
      <c r="C370" s="24" t="str">
        <f>IF(A370="","",字段母版!$G$104)</f>
        <v/>
      </c>
      <c r="D370" s="24" t="str">
        <f t="shared" si="7"/>
        <v/>
      </c>
    </row>
    <row r="371" spans="1:4" x14ac:dyDescent="0.25">
      <c r="A371" s="24" t="str">
        <f>IF(COUNTIF(字段母版!$A$5:$A$191,字段母版!$A$105)&gt;1,字段母版!$A$105,"")</f>
        <v/>
      </c>
      <c r="B371" s="24" t="str">
        <f>IF(A371="","",字段母版!$C$105)</f>
        <v/>
      </c>
      <c r="C371" s="24" t="str">
        <f>IF(A371="","",字段母版!$G$105)</f>
        <v/>
      </c>
      <c r="D371" s="24" t="str">
        <f t="shared" si="7"/>
        <v/>
      </c>
    </row>
    <row r="372" spans="1:4" x14ac:dyDescent="0.25">
      <c r="A372" s="24" t="str">
        <f>IF(COUNTIF(字段母版!$A$5:$A$191,字段母版!$A$106)&gt;1,字段母版!$A$106,"")</f>
        <v/>
      </c>
      <c r="B372" s="24" t="str">
        <f>IF(A372="","",字段母版!$C$106)</f>
        <v/>
      </c>
      <c r="C372" s="24" t="str">
        <f>IF(A372="","",字段母版!$G$106)</f>
        <v/>
      </c>
      <c r="D372" s="24" t="str">
        <f t="shared" si="7"/>
        <v/>
      </c>
    </row>
    <row r="373" spans="1:4" x14ac:dyDescent="0.25">
      <c r="A373" s="24" t="str">
        <f>IF(COUNTIF(字段母版!$A$5:$A$191,字段母版!$A$107)&gt;1,字段母版!$A$107,"")</f>
        <v/>
      </c>
      <c r="B373" s="24" t="str">
        <f>IF(A373="","",字段母版!$C$107)</f>
        <v/>
      </c>
      <c r="C373" s="24" t="str">
        <f>IF(A373="","",字段母版!$G$107)</f>
        <v/>
      </c>
      <c r="D373" s="24" t="str">
        <f t="shared" si="7"/>
        <v/>
      </c>
    </row>
    <row r="374" spans="1:4" x14ac:dyDescent="0.25">
      <c r="A374" s="24" t="str">
        <f>IF(COUNTIF(字段母版!$A$5:$A$191,字段母版!$A$108)&gt;1,字段母版!$A$108,"")</f>
        <v/>
      </c>
      <c r="B374" s="24" t="str">
        <f>IF(A374="","",字段母版!$C$108)</f>
        <v/>
      </c>
      <c r="C374" s="24" t="str">
        <f>IF(A374="","",字段母版!$G$108)</f>
        <v/>
      </c>
      <c r="D374" s="24" t="str">
        <f t="shared" si="7"/>
        <v/>
      </c>
    </row>
    <row r="375" spans="1:4" x14ac:dyDescent="0.25">
      <c r="A375" s="24" t="str">
        <f>IF(COUNTIF(字段母版!$A$5:$A$191,字段母版!$A$109)&gt;1,字段母版!$A$109,"")</f>
        <v/>
      </c>
      <c r="B375" s="24" t="str">
        <f>IF(A375="","",字段母版!$C$109)</f>
        <v/>
      </c>
      <c r="C375" s="24" t="str">
        <f>IF(A375="","",字段母版!$G$109)</f>
        <v/>
      </c>
      <c r="D375" s="24" t="str">
        <f t="shared" si="7"/>
        <v/>
      </c>
    </row>
    <row r="376" spans="1:4" x14ac:dyDescent="0.25">
      <c r="A376" s="24" t="str">
        <f>IF(COUNTIF(字段母版!$A$5:$A$191,字段母版!$A$110)&gt;1,字段母版!$A$110,"")</f>
        <v/>
      </c>
      <c r="B376" s="24" t="str">
        <f>IF(A376="","",字段母版!$C$110)</f>
        <v/>
      </c>
      <c r="C376" s="24" t="str">
        <f>IF(A376="","",字段母版!$G$110)</f>
        <v/>
      </c>
      <c r="D376" s="24" t="str">
        <f t="shared" si="7"/>
        <v/>
      </c>
    </row>
    <row r="377" spans="1:4" x14ac:dyDescent="0.25">
      <c r="A377" s="24" t="str">
        <f>IF(COUNTIF(字段母版!$A$5:$A$191,字段母版!$A$111)&gt;1,字段母版!$A$111,"")</f>
        <v/>
      </c>
      <c r="B377" s="24" t="str">
        <f>IF(A377="","",字段母版!$C$111)</f>
        <v/>
      </c>
      <c r="C377" s="24" t="str">
        <f>IF(A377="","",字段母版!$G$111)</f>
        <v/>
      </c>
      <c r="D377" s="24" t="str">
        <f t="shared" si="7"/>
        <v/>
      </c>
    </row>
    <row r="378" spans="1:4" x14ac:dyDescent="0.25">
      <c r="A378" s="24" t="str">
        <f>IF(COUNTIF(字段母版!$A$5:$A$191,字段母版!$A$112)&gt;1,字段母版!$A$112,"")</f>
        <v/>
      </c>
      <c r="B378" s="24" t="str">
        <f>IF(A378="","",字段母版!$C$112)</f>
        <v/>
      </c>
      <c r="C378" s="24" t="str">
        <f>IF(A378="","",字段母版!$G$112)</f>
        <v/>
      </c>
      <c r="D378" s="24" t="str">
        <f t="shared" si="7"/>
        <v/>
      </c>
    </row>
    <row r="379" spans="1:4" x14ac:dyDescent="0.25">
      <c r="A379" s="24" t="str">
        <f>IF(COUNTIF(字段母版!$A$5:$A$191,字段母版!$A$113)&gt;1,字段母版!$A$113,"")</f>
        <v/>
      </c>
      <c r="B379" s="24" t="str">
        <f>IF(A379="","",字段母版!$C$113)</f>
        <v/>
      </c>
      <c r="C379" s="24" t="str">
        <f>IF(A379="","",字段母版!$G$113)</f>
        <v/>
      </c>
      <c r="D379" s="24" t="str">
        <f t="shared" si="7"/>
        <v/>
      </c>
    </row>
    <row r="380" spans="1:4" x14ac:dyDescent="0.25">
      <c r="A380" s="24" t="str">
        <f>IF(COUNTIF(字段母版!$A$5:$A$191,字段母版!$A$114)&gt;1,字段母版!$A$114,"")</f>
        <v/>
      </c>
      <c r="B380" s="24" t="str">
        <f>IF(A380="","",字段母版!$C$114)</f>
        <v/>
      </c>
      <c r="C380" s="24" t="str">
        <f>IF(A380="","",字段母版!$G$114)</f>
        <v/>
      </c>
      <c r="D380" s="24" t="str">
        <f t="shared" si="7"/>
        <v/>
      </c>
    </row>
    <row r="381" spans="1:4" x14ac:dyDescent="0.25">
      <c r="A381" s="24" t="str">
        <f>IF(COUNTIF(字段母版!$A$5:$A$191,字段母版!$A$115)&gt;1,字段母版!$A$115,"")</f>
        <v/>
      </c>
      <c r="B381" s="24" t="str">
        <f>IF(A381="","",字段母版!$C$115)</f>
        <v/>
      </c>
      <c r="C381" s="24" t="str">
        <f>IF(A381="","",字段母版!$G$115)</f>
        <v/>
      </c>
      <c r="D381" s="24" t="str">
        <f t="shared" si="7"/>
        <v/>
      </c>
    </row>
    <row r="382" spans="1:4" x14ac:dyDescent="0.25">
      <c r="A382" s="24" t="str">
        <f>IF(COUNTIF(字段母版!$A$5:$A$191,字段母版!$A$116)&gt;1,字段母版!$A$116,"")</f>
        <v/>
      </c>
      <c r="B382" s="24" t="str">
        <f>IF(A382="","",字段母版!$C$116)</f>
        <v/>
      </c>
      <c r="C382" s="24" t="str">
        <f>IF(A382="","",字段母版!$G$116)</f>
        <v/>
      </c>
      <c r="D382" s="24" t="str">
        <f t="shared" si="7"/>
        <v/>
      </c>
    </row>
    <row r="383" spans="1:4" x14ac:dyDescent="0.25">
      <c r="A383" s="24" t="str">
        <f>IF(COUNTIF(字段母版!$A$5:$A$191,字段母版!$A$117)&gt;1,字段母版!$A$117,"")</f>
        <v/>
      </c>
      <c r="B383" s="24" t="str">
        <f>IF(A383="","",字段母版!$C$117)</f>
        <v/>
      </c>
      <c r="C383" s="24" t="str">
        <f>IF(A383="","",字段母版!$G$117)</f>
        <v/>
      </c>
      <c r="D383" s="24" t="str">
        <f t="shared" si="7"/>
        <v/>
      </c>
    </row>
    <row r="384" spans="1:4" x14ac:dyDescent="0.25">
      <c r="A384" s="24" t="str">
        <f>IF(COUNTIF(字段母版!$A$5:$A$191,字段母版!$A$118)&gt;1,字段母版!$A$118,"")</f>
        <v/>
      </c>
      <c r="B384" s="24" t="str">
        <f>IF(A384="","",字段母版!$C$118)</f>
        <v/>
      </c>
      <c r="C384" s="24" t="str">
        <f>IF(A384="","",字段母版!$G$118)</f>
        <v/>
      </c>
      <c r="D384" s="24" t="str">
        <f t="shared" si="7"/>
        <v/>
      </c>
    </row>
    <row r="385" spans="1:4" x14ac:dyDescent="0.25">
      <c r="A385" s="24" t="str">
        <f>IF(COUNTIF(字段母版!$A$5:$A$191,字段母版!$A$119)&gt;1,字段母版!$A$119,"")</f>
        <v/>
      </c>
      <c r="B385" s="24" t="str">
        <f>IF(A385="","",字段母版!$C$119)</f>
        <v/>
      </c>
      <c r="C385" s="24" t="str">
        <f>IF(A385="","",字段母版!$G$119)</f>
        <v/>
      </c>
      <c r="D385" s="24" t="str">
        <f t="shared" si="7"/>
        <v/>
      </c>
    </row>
    <row r="386" spans="1:4" x14ac:dyDescent="0.25">
      <c r="A386" s="24" t="str">
        <f>IF(COUNTIF(字段母版!$A$5:$A$191,字段母版!$A$120)&gt;1,字段母版!$A$120,"")</f>
        <v/>
      </c>
      <c r="B386" s="24" t="str">
        <f>IF(A386="","",字段母版!$C$120)</f>
        <v/>
      </c>
      <c r="C386" s="24" t="str">
        <f>IF(A386="","",字段母版!$G$120)</f>
        <v/>
      </c>
      <c r="D386" s="24" t="str">
        <f t="shared" si="7"/>
        <v/>
      </c>
    </row>
    <row r="387" spans="1:4" x14ac:dyDescent="0.25">
      <c r="A387" s="24" t="str">
        <f>IF(COUNTIF(字段母版!$A$5:$A$191,字段母版!$A$121)&gt;1,字段母版!$A$121,"")</f>
        <v/>
      </c>
      <c r="B387" s="24" t="str">
        <f>IF(A387="","",字段母版!$C$121)</f>
        <v/>
      </c>
      <c r="C387" s="24" t="str">
        <f>IF(A387="","",字段母版!$G$121)</f>
        <v/>
      </c>
      <c r="D387" s="24" t="str">
        <f t="shared" si="7"/>
        <v/>
      </c>
    </row>
    <row r="388" spans="1:4" x14ac:dyDescent="0.25">
      <c r="A388" s="24" t="str">
        <f>IF(COUNTIF(字段母版!$A$5:$A$191,字段母版!$A$122)&gt;1,字段母版!$A$122,"")</f>
        <v/>
      </c>
      <c r="B388" s="24" t="str">
        <f>IF(A388="","",字段母版!$C$122)</f>
        <v/>
      </c>
      <c r="C388" s="24" t="str">
        <f>IF(A388="","",字段母版!$G$122)</f>
        <v/>
      </c>
      <c r="D388" s="24" t="str">
        <f t="shared" si="7"/>
        <v/>
      </c>
    </row>
    <row r="389" spans="1:4" x14ac:dyDescent="0.25">
      <c r="A389" s="24" t="str">
        <f>IF(COUNTIF(字段母版!$A$5:$A$191,字段母版!$A$123)&gt;1,字段母版!$A$123,"")</f>
        <v/>
      </c>
      <c r="B389" s="24" t="str">
        <f>IF(A389="","",字段母版!$C$123)</f>
        <v/>
      </c>
      <c r="C389" s="24" t="str">
        <f>IF(A389="","",字段母版!$G$123)</f>
        <v/>
      </c>
      <c r="D389" s="24" t="str">
        <f t="shared" si="7"/>
        <v/>
      </c>
    </row>
    <row r="390" spans="1:4" x14ac:dyDescent="0.25">
      <c r="A390" s="24" t="str">
        <f>IF(COUNTIF(字段母版!$A$5:$A$191,字段母版!$A$124)&gt;1,字段母版!$A$124,"")</f>
        <v/>
      </c>
      <c r="B390" s="24" t="str">
        <f>IF(A390="","",字段母版!$C$124)</f>
        <v/>
      </c>
      <c r="C390" s="24" t="str">
        <f>IF(A390="","",字段母版!$G$124)</f>
        <v/>
      </c>
      <c r="D390" s="24" t="str">
        <f t="shared" si="7"/>
        <v/>
      </c>
    </row>
    <row r="391" spans="1:4" x14ac:dyDescent="0.25">
      <c r="A391" s="24" t="str">
        <f>IF(COUNTIF(字段母版!$A$5:$A$191,字段母版!$A$125)&gt;1,字段母版!$A$125,"")</f>
        <v/>
      </c>
      <c r="B391" s="24" t="str">
        <f>IF(A391="","",字段母版!$C$125)</f>
        <v/>
      </c>
      <c r="C391" s="24" t="str">
        <f>IF(A391="","",字段母版!$G$125)</f>
        <v/>
      </c>
      <c r="D391" s="24" t="str">
        <f t="shared" si="7"/>
        <v/>
      </c>
    </row>
    <row r="392" spans="1:4" x14ac:dyDescent="0.25">
      <c r="A392" s="24" t="str">
        <f>IF(COUNTIF(字段母版!$A$5:$A$191,字段母版!$A$126)&gt;1,字段母版!$A$126,"")</f>
        <v/>
      </c>
      <c r="B392" s="24" t="str">
        <f>IF(A392="","",字段母版!$C$126)</f>
        <v/>
      </c>
      <c r="C392" s="24" t="str">
        <f>IF(A392="","",字段母版!$G$126)</f>
        <v/>
      </c>
      <c r="D392" s="24" t="str">
        <f t="shared" si="7"/>
        <v/>
      </c>
    </row>
    <row r="393" spans="1:4" x14ac:dyDescent="0.25">
      <c r="A393" s="24" t="str">
        <f>IF(COUNTIF(字段母版!$A$5:$A$191,字段母版!$A$127)&gt;1,字段母版!$A$127,"")</f>
        <v/>
      </c>
      <c r="B393" s="24" t="str">
        <f>IF(A393="","",字段母版!$C$127)</f>
        <v/>
      </c>
      <c r="C393" s="24" t="str">
        <f>IF(A393="","",字段母版!$G$127)</f>
        <v/>
      </c>
      <c r="D393" s="24" t="str">
        <f t="shared" si="7"/>
        <v/>
      </c>
    </row>
    <row r="394" spans="1:4" x14ac:dyDescent="0.25">
      <c r="A394" s="24" t="str">
        <f>IF(COUNTIF(字段母版!$A$5:$A$191,字段母版!$A$128)&gt;1,字段母版!$A$128,"")</f>
        <v/>
      </c>
      <c r="B394" s="24" t="str">
        <f>IF(A394="","",字段母版!$C$128)</f>
        <v/>
      </c>
      <c r="C394" s="24" t="str">
        <f>IF(A394="","",字段母版!$G$128)</f>
        <v/>
      </c>
      <c r="D394" s="24" t="str">
        <f t="shared" si="7"/>
        <v/>
      </c>
    </row>
    <row r="395" spans="1:4" x14ac:dyDescent="0.25">
      <c r="A395" s="24" t="str">
        <f>IF(COUNTIF(字段母版!$A$5:$A$191,字段母版!$A$129)&gt;1,字段母版!$A$129,"")</f>
        <v/>
      </c>
      <c r="B395" s="24" t="str">
        <f>IF(A395="","",字段母版!$C$129)</f>
        <v/>
      </c>
      <c r="C395" s="24" t="str">
        <f>IF(A395="","",字段母版!$G$129)</f>
        <v/>
      </c>
      <c r="D395" s="24" t="str">
        <f t="shared" si="7"/>
        <v/>
      </c>
    </row>
    <row r="396" spans="1:4" x14ac:dyDescent="0.25">
      <c r="A396" s="24" t="str">
        <f>IF(COUNTIF(字段母版!$A$5:$A$191,字段母版!$A$130)&gt;1,字段母版!$A$130,"")</f>
        <v/>
      </c>
      <c r="B396" s="24" t="str">
        <f>IF(A396="","",字段母版!$C$130)</f>
        <v/>
      </c>
      <c r="C396" s="24" t="str">
        <f>IF(A396="","",字段母版!$G$130)</f>
        <v/>
      </c>
      <c r="D396" s="24" t="str">
        <f t="shared" si="7"/>
        <v/>
      </c>
    </row>
    <row r="397" spans="1:4" x14ac:dyDescent="0.25">
      <c r="A397" s="24" t="str">
        <f>IF(COUNTIF(字段母版!$A$5:$A$191,字段母版!$A$131)&gt;1,字段母版!$A$131,"")</f>
        <v/>
      </c>
      <c r="B397" s="24" t="str">
        <f>IF(A397="","",字段母版!$C$131)</f>
        <v/>
      </c>
      <c r="C397" s="24" t="str">
        <f>IF(A397="","",字段母版!$G$131)</f>
        <v/>
      </c>
      <c r="D397" s="24" t="str">
        <f t="shared" si="7"/>
        <v/>
      </c>
    </row>
    <row r="398" spans="1:4" x14ac:dyDescent="0.25">
      <c r="A398" s="24" t="str">
        <f>IF(COUNTIF(字段母版!$A$5:$A$191,字段母版!$A$132)&gt;1,字段母版!$A$132,"")</f>
        <v/>
      </c>
      <c r="B398" s="24" t="str">
        <f>IF(A398="","",字段母版!$C$132)</f>
        <v/>
      </c>
      <c r="C398" s="24" t="str">
        <f>IF(A398="","",字段母版!$G$132)</f>
        <v/>
      </c>
      <c r="D398" s="24" t="str">
        <f t="shared" si="7"/>
        <v/>
      </c>
    </row>
    <row r="399" spans="1:4" x14ac:dyDescent="0.25">
      <c r="A399" s="24" t="str">
        <f>IF(COUNTIF(字段母版!$A$5:$A$191,字段母版!$A$133)&gt;1,字段母版!$A$133,"")</f>
        <v/>
      </c>
      <c r="B399" s="24" t="str">
        <f>IF(A399="","",字段母版!$C$133)</f>
        <v/>
      </c>
      <c r="C399" s="24" t="str">
        <f>IF(A399="","",字段母版!$G$133)</f>
        <v/>
      </c>
      <c r="D399" s="24" t="str">
        <f t="shared" ref="D399:D430" si="8">IF(A399="","","重复 field_id")</f>
        <v/>
      </c>
    </row>
    <row r="400" spans="1:4" x14ac:dyDescent="0.25">
      <c r="A400" s="24" t="str">
        <f>IF(COUNTIF(字段母版!$A$5:$A$191,字段母版!$A$134)&gt;1,字段母版!$A$134,"")</f>
        <v/>
      </c>
      <c r="B400" s="24" t="str">
        <f>IF(A400="","",字段母版!$C$134)</f>
        <v/>
      </c>
      <c r="C400" s="24" t="str">
        <f>IF(A400="","",字段母版!$G$134)</f>
        <v/>
      </c>
      <c r="D400" s="24" t="str">
        <f t="shared" si="8"/>
        <v/>
      </c>
    </row>
    <row r="401" spans="1:4" x14ac:dyDescent="0.25">
      <c r="A401" s="24" t="str">
        <f>IF(COUNTIF(字段母版!$A$5:$A$191,字段母版!$A$135)&gt;1,字段母版!$A$135,"")</f>
        <v/>
      </c>
      <c r="B401" s="24" t="str">
        <f>IF(A401="","",字段母版!$C$135)</f>
        <v/>
      </c>
      <c r="C401" s="24" t="str">
        <f>IF(A401="","",字段母版!$G$135)</f>
        <v/>
      </c>
      <c r="D401" s="24" t="str">
        <f t="shared" si="8"/>
        <v/>
      </c>
    </row>
    <row r="402" spans="1:4" x14ac:dyDescent="0.25">
      <c r="A402" s="24" t="str">
        <f>IF(COUNTIF(字段母版!$A$5:$A$191,字段母版!$A$136)&gt;1,字段母版!$A$136,"")</f>
        <v/>
      </c>
      <c r="B402" s="24" t="str">
        <f>IF(A402="","",字段母版!$C$136)</f>
        <v/>
      </c>
      <c r="C402" s="24" t="str">
        <f>IF(A402="","",字段母版!$G$136)</f>
        <v/>
      </c>
      <c r="D402" s="24" t="str">
        <f t="shared" si="8"/>
        <v/>
      </c>
    </row>
    <row r="403" spans="1:4" x14ac:dyDescent="0.25">
      <c r="A403" s="24" t="str">
        <f>IF(COUNTIF(字段母版!$A$5:$A$191,字段母版!$A$137)&gt;1,字段母版!$A$137,"")</f>
        <v/>
      </c>
      <c r="B403" s="24" t="str">
        <f>IF(A403="","",字段母版!$C$137)</f>
        <v/>
      </c>
      <c r="C403" s="24" t="str">
        <f>IF(A403="","",字段母版!$G$137)</f>
        <v/>
      </c>
      <c r="D403" s="24" t="str">
        <f t="shared" si="8"/>
        <v/>
      </c>
    </row>
    <row r="404" spans="1:4" x14ac:dyDescent="0.25">
      <c r="A404" s="24" t="str">
        <f>IF(COUNTIF(字段母版!$A$5:$A$191,字段母版!$A$138)&gt;1,字段母版!$A$138,"")</f>
        <v/>
      </c>
      <c r="B404" s="24" t="str">
        <f>IF(A404="","",字段母版!$C$138)</f>
        <v/>
      </c>
      <c r="C404" s="24" t="str">
        <f>IF(A404="","",字段母版!$G$138)</f>
        <v/>
      </c>
      <c r="D404" s="24" t="str">
        <f t="shared" si="8"/>
        <v/>
      </c>
    </row>
    <row r="405" spans="1:4" x14ac:dyDescent="0.25">
      <c r="A405" s="24" t="str">
        <f>IF(COUNTIF(字段母版!$A$5:$A$191,字段母版!$A$139)&gt;1,字段母版!$A$139,"")</f>
        <v/>
      </c>
      <c r="B405" s="24" t="str">
        <f>IF(A405="","",字段母版!$C$139)</f>
        <v/>
      </c>
      <c r="C405" s="24" t="str">
        <f>IF(A405="","",字段母版!$G$139)</f>
        <v/>
      </c>
      <c r="D405" s="24" t="str">
        <f t="shared" si="8"/>
        <v/>
      </c>
    </row>
    <row r="406" spans="1:4" x14ac:dyDescent="0.25">
      <c r="A406" s="24" t="str">
        <f>IF(COUNTIF(字段母版!$A$5:$A$191,字段母版!$A$140)&gt;1,字段母版!$A$140,"")</f>
        <v/>
      </c>
      <c r="B406" s="24" t="str">
        <f>IF(A406="","",字段母版!$C$140)</f>
        <v/>
      </c>
      <c r="C406" s="24" t="str">
        <f>IF(A406="","",字段母版!$G$140)</f>
        <v/>
      </c>
      <c r="D406" s="24" t="str">
        <f t="shared" si="8"/>
        <v/>
      </c>
    </row>
    <row r="407" spans="1:4" x14ac:dyDescent="0.25">
      <c r="A407" s="24" t="str">
        <f>IF(COUNTIF(字段母版!$A$5:$A$191,字段母版!$A$141)&gt;1,字段母版!$A$141,"")</f>
        <v/>
      </c>
      <c r="B407" s="24" t="str">
        <f>IF(A407="","",字段母版!$C$141)</f>
        <v/>
      </c>
      <c r="C407" s="24" t="str">
        <f>IF(A407="","",字段母版!$G$141)</f>
        <v/>
      </c>
      <c r="D407" s="24" t="str">
        <f t="shared" si="8"/>
        <v/>
      </c>
    </row>
    <row r="408" spans="1:4" x14ac:dyDescent="0.25">
      <c r="A408" s="24" t="str">
        <f>IF(COUNTIF(字段母版!$A$5:$A$191,字段母版!$A$142)&gt;1,字段母版!$A$142,"")</f>
        <v/>
      </c>
      <c r="B408" s="24" t="str">
        <f>IF(A408="","",字段母版!$C$142)</f>
        <v/>
      </c>
      <c r="C408" s="24" t="str">
        <f>IF(A408="","",字段母版!$G$142)</f>
        <v/>
      </c>
      <c r="D408" s="24" t="str">
        <f t="shared" si="8"/>
        <v/>
      </c>
    </row>
    <row r="409" spans="1:4" x14ac:dyDescent="0.25">
      <c r="A409" s="24" t="str">
        <f>IF(COUNTIF(字段母版!$A$5:$A$191,字段母版!$A$143)&gt;1,字段母版!$A$143,"")</f>
        <v/>
      </c>
      <c r="B409" s="24" t="str">
        <f>IF(A409="","",字段母版!$C$143)</f>
        <v/>
      </c>
      <c r="C409" s="24" t="str">
        <f>IF(A409="","",字段母版!$G$143)</f>
        <v/>
      </c>
      <c r="D409" s="24" t="str">
        <f t="shared" si="8"/>
        <v/>
      </c>
    </row>
    <row r="410" spans="1:4" x14ac:dyDescent="0.25">
      <c r="A410" s="24" t="str">
        <f>IF(COUNTIF(字段母版!$A$5:$A$191,字段母版!$A$144)&gt;1,字段母版!$A$144,"")</f>
        <v/>
      </c>
      <c r="B410" s="24" t="str">
        <f>IF(A410="","",字段母版!$C$144)</f>
        <v/>
      </c>
      <c r="C410" s="24" t="str">
        <f>IF(A410="","",字段母版!$G$144)</f>
        <v/>
      </c>
      <c r="D410" s="24" t="str">
        <f t="shared" si="8"/>
        <v/>
      </c>
    </row>
    <row r="411" spans="1:4" x14ac:dyDescent="0.25">
      <c r="A411" s="24" t="str">
        <f>IF(COUNTIF(字段母版!$A$5:$A$191,字段母版!$A$145)&gt;1,字段母版!$A$145,"")</f>
        <v/>
      </c>
      <c r="B411" s="24" t="str">
        <f>IF(A411="","",字段母版!$C$145)</f>
        <v/>
      </c>
      <c r="C411" s="24" t="str">
        <f>IF(A411="","",字段母版!$G$145)</f>
        <v/>
      </c>
      <c r="D411" s="24" t="str">
        <f t="shared" si="8"/>
        <v/>
      </c>
    </row>
    <row r="412" spans="1:4" x14ac:dyDescent="0.25">
      <c r="A412" s="24" t="str">
        <f>IF(COUNTIF(字段母版!$A$5:$A$191,字段母版!$A$146)&gt;1,字段母版!$A$146,"")</f>
        <v/>
      </c>
      <c r="B412" s="24" t="str">
        <f>IF(A412="","",字段母版!$C$146)</f>
        <v/>
      </c>
      <c r="C412" s="24" t="str">
        <f>IF(A412="","",字段母版!$G$146)</f>
        <v/>
      </c>
      <c r="D412" s="24" t="str">
        <f t="shared" si="8"/>
        <v/>
      </c>
    </row>
    <row r="413" spans="1:4" x14ac:dyDescent="0.25">
      <c r="A413" s="24" t="str">
        <f>IF(COUNTIF(字段母版!$A$5:$A$191,字段母版!$A$147)&gt;1,字段母版!$A$147,"")</f>
        <v/>
      </c>
      <c r="B413" s="24" t="str">
        <f>IF(A413="","",字段母版!$C$147)</f>
        <v/>
      </c>
      <c r="C413" s="24" t="str">
        <f>IF(A413="","",字段母版!$G$147)</f>
        <v/>
      </c>
      <c r="D413" s="24" t="str">
        <f t="shared" si="8"/>
        <v/>
      </c>
    </row>
    <row r="414" spans="1:4" x14ac:dyDescent="0.25">
      <c r="A414" s="24" t="str">
        <f>IF(COUNTIF(字段母版!$A$5:$A$191,字段母版!$A$148)&gt;1,字段母版!$A$148,"")</f>
        <v/>
      </c>
      <c r="B414" s="24" t="str">
        <f>IF(A414="","",字段母版!$C$148)</f>
        <v/>
      </c>
      <c r="C414" s="24" t="str">
        <f>IF(A414="","",字段母版!$G$148)</f>
        <v/>
      </c>
      <c r="D414" s="24" t="str">
        <f t="shared" si="8"/>
        <v/>
      </c>
    </row>
    <row r="415" spans="1:4" x14ac:dyDescent="0.25">
      <c r="A415" s="24" t="str">
        <f>IF(COUNTIF(字段母版!$A$5:$A$191,字段母版!$A$149)&gt;1,字段母版!$A$149,"")</f>
        <v/>
      </c>
      <c r="B415" s="24" t="str">
        <f>IF(A415="","",字段母版!$C$149)</f>
        <v/>
      </c>
      <c r="C415" s="24" t="str">
        <f>IF(A415="","",字段母版!$G$149)</f>
        <v/>
      </c>
      <c r="D415" s="24" t="str">
        <f t="shared" si="8"/>
        <v/>
      </c>
    </row>
    <row r="416" spans="1:4" x14ac:dyDescent="0.25">
      <c r="A416" s="24" t="str">
        <f>IF(COUNTIF(字段母版!$A$5:$A$191,字段母版!$A$150)&gt;1,字段母版!$A$150,"")</f>
        <v/>
      </c>
      <c r="B416" s="24" t="str">
        <f>IF(A416="","",字段母版!$C$150)</f>
        <v/>
      </c>
      <c r="C416" s="24" t="str">
        <f>IF(A416="","",字段母版!$G$150)</f>
        <v/>
      </c>
      <c r="D416" s="24" t="str">
        <f t="shared" si="8"/>
        <v/>
      </c>
    </row>
    <row r="417" spans="1:4" x14ac:dyDescent="0.25">
      <c r="A417" s="24" t="str">
        <f>IF(COUNTIF(字段母版!$A$5:$A$191,字段母版!$A$151)&gt;1,字段母版!$A$151,"")</f>
        <v/>
      </c>
      <c r="B417" s="24" t="str">
        <f>IF(A417="","",字段母版!$C$151)</f>
        <v/>
      </c>
      <c r="C417" s="24" t="str">
        <f>IF(A417="","",字段母版!$G$151)</f>
        <v/>
      </c>
      <c r="D417" s="24" t="str">
        <f t="shared" si="8"/>
        <v/>
      </c>
    </row>
    <row r="418" spans="1:4" x14ac:dyDescent="0.25">
      <c r="A418" s="24" t="str">
        <f>IF(COUNTIF(字段母版!$A$5:$A$191,字段母版!$A$152)&gt;1,字段母版!$A$152,"")</f>
        <v/>
      </c>
      <c r="B418" s="24" t="str">
        <f>IF(A418="","",字段母版!$C$152)</f>
        <v/>
      </c>
      <c r="C418" s="24" t="str">
        <f>IF(A418="","",字段母版!$G$152)</f>
        <v/>
      </c>
      <c r="D418" s="24" t="str">
        <f t="shared" si="8"/>
        <v/>
      </c>
    </row>
    <row r="419" spans="1:4" x14ac:dyDescent="0.25">
      <c r="A419" s="24" t="str">
        <f>IF(COUNTIF(字段母版!$A$5:$A$191,字段母版!$A$153)&gt;1,字段母版!$A$153,"")</f>
        <v/>
      </c>
      <c r="B419" s="24" t="str">
        <f>IF(A419="","",字段母版!$C$153)</f>
        <v/>
      </c>
      <c r="C419" s="24" t="str">
        <f>IF(A419="","",字段母版!$G$153)</f>
        <v/>
      </c>
      <c r="D419" s="24" t="str">
        <f t="shared" si="8"/>
        <v/>
      </c>
    </row>
    <row r="420" spans="1:4" x14ac:dyDescent="0.25">
      <c r="A420" s="24" t="str">
        <f>IF(COUNTIF(字段母版!$A$5:$A$191,字段母版!$A$154)&gt;1,字段母版!$A$154,"")</f>
        <v/>
      </c>
      <c r="B420" s="24" t="str">
        <f>IF(A420="","",字段母版!$C$154)</f>
        <v/>
      </c>
      <c r="C420" s="24" t="str">
        <f>IF(A420="","",字段母版!$G$154)</f>
        <v/>
      </c>
      <c r="D420" s="24" t="str">
        <f t="shared" si="8"/>
        <v/>
      </c>
    </row>
    <row r="421" spans="1:4" x14ac:dyDescent="0.25">
      <c r="A421" s="24" t="str">
        <f>IF(COUNTIF(字段母版!$A$5:$A$191,字段母版!$A$155)&gt;1,字段母版!$A$155,"")</f>
        <v/>
      </c>
      <c r="B421" s="24" t="str">
        <f>IF(A421="","",字段母版!$C$155)</f>
        <v/>
      </c>
      <c r="C421" s="24" t="str">
        <f>IF(A421="","",字段母版!$G$155)</f>
        <v/>
      </c>
      <c r="D421" s="24" t="str">
        <f t="shared" si="8"/>
        <v/>
      </c>
    </row>
    <row r="422" spans="1:4" x14ac:dyDescent="0.25">
      <c r="A422" s="24" t="str">
        <f>IF(COUNTIF(字段母版!$A$5:$A$191,字段母版!$A$156)&gt;1,字段母版!$A$156,"")</f>
        <v/>
      </c>
      <c r="B422" s="24" t="str">
        <f>IF(A422="","",字段母版!$C$156)</f>
        <v/>
      </c>
      <c r="C422" s="24" t="str">
        <f>IF(A422="","",字段母版!$G$156)</f>
        <v/>
      </c>
      <c r="D422" s="24" t="str">
        <f t="shared" si="8"/>
        <v/>
      </c>
    </row>
    <row r="423" spans="1:4" x14ac:dyDescent="0.25">
      <c r="A423" s="24" t="str">
        <f>IF(COUNTIF(字段母版!$A$5:$A$191,字段母版!$A$157)&gt;1,字段母版!$A$157,"")</f>
        <v/>
      </c>
      <c r="B423" s="24" t="str">
        <f>IF(A423="","",字段母版!$C$157)</f>
        <v/>
      </c>
      <c r="C423" s="24" t="str">
        <f>IF(A423="","",字段母版!$G$157)</f>
        <v/>
      </c>
      <c r="D423" s="24" t="str">
        <f t="shared" si="8"/>
        <v/>
      </c>
    </row>
    <row r="424" spans="1:4" x14ac:dyDescent="0.25">
      <c r="A424" s="24" t="str">
        <f>IF(COUNTIF(字段母版!$A$5:$A$191,字段母版!$A$158)&gt;1,字段母版!$A$158,"")</f>
        <v/>
      </c>
      <c r="B424" s="24" t="str">
        <f>IF(A424="","",字段母版!$C$158)</f>
        <v/>
      </c>
      <c r="C424" s="24" t="str">
        <f>IF(A424="","",字段母版!$G$158)</f>
        <v/>
      </c>
      <c r="D424" s="24" t="str">
        <f t="shared" si="8"/>
        <v/>
      </c>
    </row>
    <row r="425" spans="1:4" x14ac:dyDescent="0.25">
      <c r="A425" s="24" t="str">
        <f>IF(COUNTIF(字段母版!$A$5:$A$191,字段母版!$A$159)&gt;1,字段母版!$A$159,"")</f>
        <v/>
      </c>
      <c r="B425" s="24" t="str">
        <f>IF(A425="","",字段母版!$C$159)</f>
        <v/>
      </c>
      <c r="C425" s="24" t="str">
        <f>IF(A425="","",字段母版!$G$159)</f>
        <v/>
      </c>
      <c r="D425" s="24" t="str">
        <f t="shared" si="8"/>
        <v/>
      </c>
    </row>
    <row r="426" spans="1:4" x14ac:dyDescent="0.25">
      <c r="A426" s="24" t="str">
        <f>IF(COUNTIF(字段母版!$A$5:$A$191,字段母版!$A$160)&gt;1,字段母版!$A$160,"")</f>
        <v/>
      </c>
      <c r="B426" s="24" t="str">
        <f>IF(A426="","",字段母版!$C$160)</f>
        <v/>
      </c>
      <c r="C426" s="24" t="str">
        <f>IF(A426="","",字段母版!$G$160)</f>
        <v/>
      </c>
      <c r="D426" s="24" t="str">
        <f t="shared" si="8"/>
        <v/>
      </c>
    </row>
    <row r="427" spans="1:4" x14ac:dyDescent="0.25">
      <c r="A427" s="24" t="str">
        <f>IF(COUNTIF(字段母版!$A$5:$A$191,字段母版!$A$161)&gt;1,字段母版!$A$161,"")</f>
        <v/>
      </c>
      <c r="B427" s="24" t="str">
        <f>IF(A427="","",字段母版!$C$161)</f>
        <v/>
      </c>
      <c r="C427" s="24" t="str">
        <f>IF(A427="","",字段母版!$G$161)</f>
        <v/>
      </c>
      <c r="D427" s="24" t="str">
        <f t="shared" si="8"/>
        <v/>
      </c>
    </row>
    <row r="428" spans="1:4" x14ac:dyDescent="0.25">
      <c r="A428" s="24" t="str">
        <f>IF(COUNTIF(字段母版!$A$5:$A$191,字段母版!$A$162)&gt;1,字段母版!$A$162,"")</f>
        <v/>
      </c>
      <c r="B428" s="24" t="str">
        <f>IF(A428="","",字段母版!$C$162)</f>
        <v/>
      </c>
      <c r="C428" s="24" t="str">
        <f>IF(A428="","",字段母版!$G$162)</f>
        <v/>
      </c>
      <c r="D428" s="24" t="str">
        <f t="shared" si="8"/>
        <v/>
      </c>
    </row>
    <row r="429" spans="1:4" x14ac:dyDescent="0.25">
      <c r="A429" s="24" t="str">
        <f>IF(COUNTIF(字段母版!$A$5:$A$191,字段母版!$A$163)&gt;1,字段母版!$A$163,"")</f>
        <v/>
      </c>
      <c r="B429" s="24" t="str">
        <f>IF(A429="","",字段母版!$C$163)</f>
        <v/>
      </c>
      <c r="C429" s="24" t="str">
        <f>IF(A429="","",字段母版!$G$163)</f>
        <v/>
      </c>
      <c r="D429" s="24" t="str">
        <f t="shared" si="8"/>
        <v/>
      </c>
    </row>
    <row r="430" spans="1:4" x14ac:dyDescent="0.25">
      <c r="A430" s="24" t="str">
        <f>IF(COUNTIF(字段母版!$A$5:$A$191,字段母版!$A$164)&gt;1,字段母版!$A$164,"")</f>
        <v/>
      </c>
      <c r="B430" s="24" t="str">
        <f>IF(A430="","",字段母版!$C$164)</f>
        <v/>
      </c>
      <c r="C430" s="24" t="str">
        <f>IF(A430="","",字段母版!$G$164)</f>
        <v/>
      </c>
      <c r="D430" s="24" t="str">
        <f t="shared" si="8"/>
        <v/>
      </c>
    </row>
    <row r="431" spans="1:4" x14ac:dyDescent="0.25">
      <c r="A431" s="24" t="str">
        <f>IF(COUNTIF(字段母版!$A$5:$A$191,字段母版!$A$165)&gt;1,字段母版!$A$165,"")</f>
        <v/>
      </c>
      <c r="B431" s="24" t="str">
        <f>IF(A431="","",字段母版!$C$165)</f>
        <v/>
      </c>
      <c r="C431" s="24" t="str">
        <f>IF(A431="","",字段母版!$G$165)</f>
        <v/>
      </c>
      <c r="D431" s="24" t="str">
        <f t="shared" ref="D431:D453" si="9">IF(A431="","","重复 field_id")</f>
        <v/>
      </c>
    </row>
    <row r="432" spans="1:4" x14ac:dyDescent="0.25">
      <c r="A432" s="24" t="str">
        <f>IF(COUNTIF(字段母版!$A$5:$A$191,字段母版!$A$166)&gt;1,字段母版!$A$166,"")</f>
        <v/>
      </c>
      <c r="B432" s="24" t="str">
        <f>IF(A432="","",字段母版!$C$166)</f>
        <v/>
      </c>
      <c r="C432" s="24" t="str">
        <f>IF(A432="","",字段母版!$G$166)</f>
        <v/>
      </c>
      <c r="D432" s="24" t="str">
        <f t="shared" si="9"/>
        <v/>
      </c>
    </row>
    <row r="433" spans="1:4" x14ac:dyDescent="0.25">
      <c r="A433" s="24" t="str">
        <f>IF(COUNTIF(字段母版!$A$5:$A$191,字段母版!$A$167)&gt;1,字段母版!$A$167,"")</f>
        <v/>
      </c>
      <c r="B433" s="24" t="str">
        <f>IF(A433="","",字段母版!$C$167)</f>
        <v/>
      </c>
      <c r="C433" s="24" t="str">
        <f>IF(A433="","",字段母版!$G$167)</f>
        <v/>
      </c>
      <c r="D433" s="24" t="str">
        <f t="shared" si="9"/>
        <v/>
      </c>
    </row>
    <row r="434" spans="1:4" x14ac:dyDescent="0.25">
      <c r="A434" s="24" t="str">
        <f>IF(COUNTIF(字段母版!$A$5:$A$191,字段母版!$A$168)&gt;1,字段母版!$A$168,"")</f>
        <v/>
      </c>
      <c r="B434" s="24" t="str">
        <f>IF(A434="","",字段母版!$C$168)</f>
        <v/>
      </c>
      <c r="C434" s="24" t="str">
        <f>IF(A434="","",字段母版!$G$168)</f>
        <v/>
      </c>
      <c r="D434" s="24" t="str">
        <f t="shared" si="9"/>
        <v/>
      </c>
    </row>
    <row r="435" spans="1:4" x14ac:dyDescent="0.25">
      <c r="A435" s="24" t="str">
        <f>IF(COUNTIF(字段母版!$A$5:$A$191,字段母版!$A$169)&gt;1,字段母版!$A$169,"")</f>
        <v/>
      </c>
      <c r="B435" s="24" t="str">
        <f>IF(A435="","",字段母版!$C$169)</f>
        <v/>
      </c>
      <c r="C435" s="24" t="str">
        <f>IF(A435="","",字段母版!$G$169)</f>
        <v/>
      </c>
      <c r="D435" s="24" t="str">
        <f t="shared" si="9"/>
        <v/>
      </c>
    </row>
    <row r="436" spans="1:4" x14ac:dyDescent="0.25">
      <c r="A436" s="24" t="str">
        <f>IF(COUNTIF(字段母版!$A$5:$A$191,字段母版!$A$170)&gt;1,字段母版!$A$170,"")</f>
        <v/>
      </c>
      <c r="B436" s="24" t="str">
        <f>IF(A436="","",字段母版!$C$170)</f>
        <v/>
      </c>
      <c r="C436" s="24" t="str">
        <f>IF(A436="","",字段母版!$G$170)</f>
        <v/>
      </c>
      <c r="D436" s="24" t="str">
        <f t="shared" si="9"/>
        <v/>
      </c>
    </row>
    <row r="437" spans="1:4" x14ac:dyDescent="0.25">
      <c r="A437" s="24" t="str">
        <f>IF(COUNTIF(字段母版!$A$5:$A$191,字段母版!$A$171)&gt;1,字段母版!$A$171,"")</f>
        <v/>
      </c>
      <c r="B437" s="24" t="str">
        <f>IF(A437="","",字段母版!$C$171)</f>
        <v/>
      </c>
      <c r="C437" s="24" t="str">
        <f>IF(A437="","",字段母版!$G$171)</f>
        <v/>
      </c>
      <c r="D437" s="24" t="str">
        <f t="shared" si="9"/>
        <v/>
      </c>
    </row>
    <row r="438" spans="1:4" x14ac:dyDescent="0.25">
      <c r="A438" s="24" t="str">
        <f>IF(COUNTIF(字段母版!$A$5:$A$191,字段母版!$A$172)&gt;1,字段母版!$A$172,"")</f>
        <v/>
      </c>
      <c r="B438" s="24" t="str">
        <f>IF(A438="","",字段母版!$C$172)</f>
        <v/>
      </c>
      <c r="C438" s="24" t="str">
        <f>IF(A438="","",字段母版!$G$172)</f>
        <v/>
      </c>
      <c r="D438" s="24" t="str">
        <f t="shared" si="9"/>
        <v/>
      </c>
    </row>
    <row r="439" spans="1:4" x14ac:dyDescent="0.25">
      <c r="A439" s="24" t="str">
        <f>IF(COUNTIF(字段母版!$A$5:$A$191,字段母版!$A$173)&gt;1,字段母版!$A$173,"")</f>
        <v/>
      </c>
      <c r="B439" s="24" t="str">
        <f>IF(A439="","",字段母版!$C$173)</f>
        <v/>
      </c>
      <c r="C439" s="24" t="str">
        <f>IF(A439="","",字段母版!$G$173)</f>
        <v/>
      </c>
      <c r="D439" s="24" t="str">
        <f t="shared" si="9"/>
        <v/>
      </c>
    </row>
    <row r="440" spans="1:4" x14ac:dyDescent="0.25">
      <c r="A440" s="24" t="str">
        <f>IF(COUNTIF(字段母版!$A$5:$A$191,字段母版!$A$174)&gt;1,字段母版!$A$174,"")</f>
        <v/>
      </c>
      <c r="B440" s="24" t="str">
        <f>IF(A440="","",字段母版!$C$174)</f>
        <v/>
      </c>
      <c r="C440" s="24" t="str">
        <f>IF(A440="","",字段母版!$G$174)</f>
        <v/>
      </c>
      <c r="D440" s="24" t="str">
        <f t="shared" si="9"/>
        <v/>
      </c>
    </row>
    <row r="441" spans="1:4" x14ac:dyDescent="0.25">
      <c r="A441" s="24" t="str">
        <f>IF(COUNTIF(字段母版!$A$5:$A$191,字段母版!$A$175)&gt;1,字段母版!$A$175,"")</f>
        <v/>
      </c>
      <c r="B441" s="24" t="str">
        <f>IF(A441="","",字段母版!$C$175)</f>
        <v/>
      </c>
      <c r="C441" s="24" t="str">
        <f>IF(A441="","",字段母版!$G$175)</f>
        <v/>
      </c>
      <c r="D441" s="24" t="str">
        <f t="shared" si="9"/>
        <v/>
      </c>
    </row>
    <row r="442" spans="1:4" x14ac:dyDescent="0.25">
      <c r="A442" s="24" t="str">
        <f>IF(COUNTIF(字段母版!$A$5:$A$191,字段母版!$A$176)&gt;1,字段母版!$A$176,"")</f>
        <v/>
      </c>
      <c r="B442" s="24" t="str">
        <f>IF(A442="","",字段母版!$C$176)</f>
        <v/>
      </c>
      <c r="C442" s="24" t="str">
        <f>IF(A442="","",字段母版!$G$176)</f>
        <v/>
      </c>
      <c r="D442" s="24" t="str">
        <f t="shared" si="9"/>
        <v/>
      </c>
    </row>
    <row r="443" spans="1:4" x14ac:dyDescent="0.25">
      <c r="A443" s="24" t="str">
        <f>IF(COUNTIF(字段母版!$A$5:$A$191,字段母版!$A$177)&gt;1,字段母版!$A$177,"")</f>
        <v/>
      </c>
      <c r="B443" s="24" t="str">
        <f>IF(A443="","",字段母版!$C$177)</f>
        <v/>
      </c>
      <c r="C443" s="24" t="str">
        <f>IF(A443="","",字段母版!$G$177)</f>
        <v/>
      </c>
      <c r="D443" s="24" t="str">
        <f t="shared" si="9"/>
        <v/>
      </c>
    </row>
    <row r="444" spans="1:4" x14ac:dyDescent="0.25">
      <c r="A444" s="24" t="str">
        <f>IF(COUNTIF(字段母版!$A$5:$A$191,字段母版!$A$178)&gt;1,字段母版!$A$178,"")</f>
        <v/>
      </c>
      <c r="B444" s="24" t="str">
        <f>IF(A444="","",字段母版!$C$178)</f>
        <v/>
      </c>
      <c r="C444" s="24" t="str">
        <f>IF(A444="","",字段母版!$G$178)</f>
        <v/>
      </c>
      <c r="D444" s="24" t="str">
        <f t="shared" si="9"/>
        <v/>
      </c>
    </row>
    <row r="445" spans="1:4" x14ac:dyDescent="0.25">
      <c r="A445" s="24" t="str">
        <f>IF(COUNTIF(字段母版!$A$5:$A$191,字段母版!$A$179)&gt;1,字段母版!$A$179,"")</f>
        <v/>
      </c>
      <c r="B445" s="24" t="str">
        <f>IF(A445="","",字段母版!$C$179)</f>
        <v/>
      </c>
      <c r="C445" s="24" t="str">
        <f>IF(A445="","",字段母版!$G$179)</f>
        <v/>
      </c>
      <c r="D445" s="24" t="str">
        <f t="shared" si="9"/>
        <v/>
      </c>
    </row>
    <row r="446" spans="1:4" x14ac:dyDescent="0.25">
      <c r="A446" s="24" t="str">
        <f>IF(COUNTIF(字段母版!$A$5:$A$191,字段母版!$A$180)&gt;1,字段母版!$A$180,"")</f>
        <v/>
      </c>
      <c r="B446" s="24" t="str">
        <f>IF(A446="","",字段母版!$C$180)</f>
        <v/>
      </c>
      <c r="C446" s="24" t="str">
        <f>IF(A446="","",字段母版!$G$180)</f>
        <v/>
      </c>
      <c r="D446" s="24" t="str">
        <f t="shared" si="9"/>
        <v/>
      </c>
    </row>
    <row r="447" spans="1:4" x14ac:dyDescent="0.25">
      <c r="A447" s="24" t="str">
        <f>IF(COUNTIF(字段母版!$A$5:$A$191,字段母版!$A$181)&gt;1,字段母版!$A$181,"")</f>
        <v/>
      </c>
      <c r="B447" s="24" t="str">
        <f>IF(A447="","",字段母版!$C$181)</f>
        <v/>
      </c>
      <c r="C447" s="24" t="str">
        <f>IF(A447="","",字段母版!$G$181)</f>
        <v/>
      </c>
      <c r="D447" s="24" t="str">
        <f t="shared" si="9"/>
        <v/>
      </c>
    </row>
    <row r="448" spans="1:4" x14ac:dyDescent="0.25">
      <c r="A448" s="24" t="str">
        <f>IF(COUNTIF(字段母版!$A$5:$A$191,字段母版!$A$182)&gt;1,字段母版!$A$182,"")</f>
        <v/>
      </c>
      <c r="B448" s="24" t="str">
        <f>IF(A448="","",字段母版!$C$182)</f>
        <v/>
      </c>
      <c r="C448" s="24" t="str">
        <f>IF(A448="","",字段母版!$G$182)</f>
        <v/>
      </c>
      <c r="D448" s="24" t="str">
        <f t="shared" si="9"/>
        <v/>
      </c>
    </row>
    <row r="449" spans="1:7" x14ac:dyDescent="0.25">
      <c r="A449" s="24" t="str">
        <f>IF(COUNTIF(字段母版!$A$5:$A$191,字段母版!$A$183)&gt;1,字段母版!$A$183,"")</f>
        <v/>
      </c>
      <c r="B449" s="24" t="str">
        <f>IF(A449="","",字段母版!$C$183)</f>
        <v/>
      </c>
      <c r="C449" s="24" t="str">
        <f>IF(A449="","",字段母版!$G$183)</f>
        <v/>
      </c>
      <c r="D449" s="24" t="str">
        <f t="shared" si="9"/>
        <v/>
      </c>
    </row>
    <row r="450" spans="1:7" x14ac:dyDescent="0.25">
      <c r="A450" s="24" t="str">
        <f>IF(COUNTIF(字段母版!$A$5:$A$191,字段母版!$A$184)&gt;1,字段母版!$A$184,"")</f>
        <v/>
      </c>
      <c r="B450" s="24" t="str">
        <f>IF(A450="","",字段母版!$C$184)</f>
        <v/>
      </c>
      <c r="C450" s="24" t="str">
        <f>IF(A450="","",字段母版!$G$184)</f>
        <v/>
      </c>
      <c r="D450" s="24" t="str">
        <f t="shared" si="9"/>
        <v/>
      </c>
    </row>
    <row r="451" spans="1:7" x14ac:dyDescent="0.25">
      <c r="A451" s="24" t="str">
        <f>IF(COUNTIF(字段母版!$A$5:$A$191,字段母版!$A$185)&gt;1,字段母版!$A$185,"")</f>
        <v/>
      </c>
      <c r="B451" s="24" t="str">
        <f>IF(A451="","",字段母版!$C$185)</f>
        <v/>
      </c>
      <c r="C451" s="24" t="str">
        <f>IF(A451="","",字段母版!$G$185)</f>
        <v/>
      </c>
      <c r="D451" s="24" t="str">
        <f t="shared" si="9"/>
        <v/>
      </c>
    </row>
    <row r="452" spans="1:7" x14ac:dyDescent="0.25">
      <c r="A452" s="24" t="str">
        <f>IF(COUNTIF(字段母版!$A$5:$A$191,字段母版!$A$186)&gt;1,字段母版!$A$186,"")</f>
        <v/>
      </c>
      <c r="B452" s="24" t="str">
        <f>IF(A452="","",字段母版!$C$186)</f>
        <v/>
      </c>
      <c r="C452" s="24" t="str">
        <f>IF(A452="","",字段母版!$G$186)</f>
        <v/>
      </c>
      <c r="D452" s="24" t="str">
        <f t="shared" si="9"/>
        <v/>
      </c>
    </row>
    <row r="453" spans="1:7" x14ac:dyDescent="0.25">
      <c r="A453" s="25" t="str">
        <f>IF(COUNTIF(字段母版!$A$5:$A$191,字段母版!$A$187)&gt;1,字段母版!$A$187,"")</f>
        <v/>
      </c>
      <c r="B453" s="25" t="str">
        <f>IF(A453="","",字段母版!$C$187)</f>
        <v/>
      </c>
      <c r="C453" s="25" t="str">
        <f>IF(A453="","",字段母版!$G$187)</f>
        <v/>
      </c>
      <c r="D453" s="25" t="str">
        <f t="shared" si="9"/>
        <v/>
      </c>
    </row>
    <row r="456" spans="1:7" x14ac:dyDescent="0.25">
      <c r="A456" s="87" t="s">
        <v>1227</v>
      </c>
      <c r="B456" s="73"/>
      <c r="C456" s="73"/>
      <c r="D456" s="73"/>
      <c r="E456" s="73"/>
      <c r="F456" s="73"/>
      <c r="G456" s="73"/>
    </row>
    <row r="457" spans="1:7" x14ac:dyDescent="0.25">
      <c r="A457" s="22" t="s">
        <v>40</v>
      </c>
      <c r="B457" s="22" t="s">
        <v>1226</v>
      </c>
      <c r="C457" s="22" t="s">
        <v>48</v>
      </c>
      <c r="D457" s="22" t="s">
        <v>1223</v>
      </c>
    </row>
    <row r="458" spans="1:7" x14ac:dyDescent="0.25">
      <c r="A458" s="23" t="str">
        <f>IF(AND(OR(ISNUMBER(SEARCH("必填",字段母版!$J$5)),ISNUMBER(SEARCH("必需",字段母版!$J$5))),字段母版!$K$5="",NOT(OR(字段母版!$I$5="上传资料提取",字段母版!$I$5="默认",字段母版!$I$5="派生",字段母版!$I$5="继承",字段母版!$I$5="Omnia自动",字段母版!$I$5="Agent执行",字段母版!$I$5="无需输入"))),字段母版!$A$5,"")</f>
        <v/>
      </c>
      <c r="B458" s="23" t="str">
        <f>IF(A458="","",字段母版!$G$5)</f>
        <v/>
      </c>
      <c r="C458" s="23" t="str">
        <f>IF(A458="","",字段母版!$I$5)</f>
        <v/>
      </c>
      <c r="D458" s="23" t="str">
        <f t="shared" ref="D458:D489" si="10">IF(A458="","","必填策略既无默认/回退也无明确上传/派生/继承/自动来源")</f>
        <v/>
      </c>
    </row>
    <row r="459" spans="1:7" x14ac:dyDescent="0.25">
      <c r="A459" s="24" t="str">
        <f>IF(AND(OR(ISNUMBER(SEARCH("必填",字段母版!$J$6)),ISNUMBER(SEARCH("必需",字段母版!$J$6))),字段母版!$K$6="",NOT(OR(字段母版!$I$6="上传资料提取",字段母版!$I$6="默认",字段母版!$I$6="派生",字段母版!$I$6="继承",字段母版!$I$6="Omnia自动",字段母版!$I$6="Agent执行",字段母版!$I$6="无需输入"))),字段母版!$A$6,"")</f>
        <v/>
      </c>
      <c r="B459" s="24" t="str">
        <f>IF(A459="","",字段母版!$G$6)</f>
        <v/>
      </c>
      <c r="C459" s="24" t="str">
        <f>IF(A459="","",字段母版!$I$6)</f>
        <v/>
      </c>
      <c r="D459" s="24" t="str">
        <f t="shared" si="10"/>
        <v/>
      </c>
    </row>
    <row r="460" spans="1:7" x14ac:dyDescent="0.25">
      <c r="A460" s="24" t="str">
        <f>IF(AND(OR(ISNUMBER(SEARCH("必填",字段母版!$J$7)),ISNUMBER(SEARCH("必需",字段母版!$J$7))),字段母版!$K$7="",NOT(OR(字段母版!$I$7="上传资料提取",字段母版!$I$7="默认",字段母版!$I$7="派生",字段母版!$I$7="继承",字段母版!$I$7="Omnia自动",字段母版!$I$7="Agent执行",字段母版!$I$7="无需输入"))),字段母版!$A$7,"")</f>
        <v/>
      </c>
      <c r="B460" s="24" t="str">
        <f>IF(A460="","",字段母版!$G$7)</f>
        <v/>
      </c>
      <c r="C460" s="24" t="str">
        <f>IF(A460="","",字段母版!$I$7)</f>
        <v/>
      </c>
      <c r="D460" s="24" t="str">
        <f t="shared" si="10"/>
        <v/>
      </c>
    </row>
    <row r="461" spans="1:7" x14ac:dyDescent="0.25">
      <c r="A461" s="24" t="str">
        <f>IF(AND(OR(ISNUMBER(SEARCH("必填",字段母版!$J$8)),ISNUMBER(SEARCH("必需",字段母版!$J$8))),字段母版!$K$8="",NOT(OR(字段母版!$I$8="上传资料提取",字段母版!$I$8="默认",字段母版!$I$8="派生",字段母版!$I$8="继承",字段母版!$I$8="Omnia自动",字段母版!$I$8="Agent执行",字段母版!$I$8="无需输入"))),字段母版!$A$8,"")</f>
        <v/>
      </c>
      <c r="B461" s="24" t="str">
        <f>IF(A461="","",字段母版!$G$8)</f>
        <v/>
      </c>
      <c r="C461" s="24" t="str">
        <f>IF(A461="","",字段母版!$I$8)</f>
        <v/>
      </c>
      <c r="D461" s="24" t="str">
        <f t="shared" si="10"/>
        <v/>
      </c>
    </row>
    <row r="462" spans="1:7" x14ac:dyDescent="0.25">
      <c r="A462" s="24" t="str">
        <f>IF(AND(OR(ISNUMBER(SEARCH("必填",字段母版!$J$9)),ISNUMBER(SEARCH("必需",字段母版!$J$9))),字段母版!$K$9="",NOT(OR(字段母版!$I$9="上传资料提取",字段母版!$I$9="默认",字段母版!$I$9="派生",字段母版!$I$9="继承",字段母版!$I$9="Omnia自动",字段母版!$I$9="Agent执行",字段母版!$I$9="无需输入"))),字段母版!$A$9,"")</f>
        <v/>
      </c>
      <c r="B462" s="24" t="str">
        <f>IF(A462="","",字段母版!$G$9)</f>
        <v/>
      </c>
      <c r="C462" s="24" t="str">
        <f>IF(A462="","",字段母版!$I$9)</f>
        <v/>
      </c>
      <c r="D462" s="24" t="str">
        <f t="shared" si="10"/>
        <v/>
      </c>
    </row>
    <row r="463" spans="1:7" x14ac:dyDescent="0.25">
      <c r="A463" s="24" t="str">
        <f>IF(AND(OR(ISNUMBER(SEARCH("必填",字段母版!$J$10)),ISNUMBER(SEARCH("必需",字段母版!$J$10))),字段母版!$K$10="",NOT(OR(字段母版!$I$10="上传资料提取",字段母版!$I$10="默认",字段母版!$I$10="派生",字段母版!$I$10="继承",字段母版!$I$10="Omnia自动",字段母版!$I$10="Agent执行",字段母版!$I$10="无需输入"))),字段母版!$A$10,"")</f>
        <v/>
      </c>
      <c r="B463" s="24" t="str">
        <f>IF(A463="","",字段母版!$G$10)</f>
        <v/>
      </c>
      <c r="C463" s="24" t="str">
        <f>IF(A463="","",字段母版!$I$10)</f>
        <v/>
      </c>
      <c r="D463" s="24" t="str">
        <f t="shared" si="10"/>
        <v/>
      </c>
    </row>
    <row r="464" spans="1:7" x14ac:dyDescent="0.25">
      <c r="A464" s="24" t="str">
        <f>IF(AND(OR(ISNUMBER(SEARCH("必填",字段母版!$J$11)),ISNUMBER(SEARCH("必需",字段母版!$J$11))),字段母版!$K$11="",NOT(OR(字段母版!$I$11="上传资料提取",字段母版!$I$11="默认",字段母版!$I$11="派生",字段母版!$I$11="继承",字段母版!$I$11="Omnia自动",字段母版!$I$11="Agent执行",字段母版!$I$11="无需输入"))),字段母版!$A$11,"")</f>
        <v/>
      </c>
      <c r="B464" s="24" t="str">
        <f>IF(A464="","",字段母版!$G$11)</f>
        <v/>
      </c>
      <c r="C464" s="24" t="str">
        <f>IF(A464="","",字段母版!$I$11)</f>
        <v/>
      </c>
      <c r="D464" s="24" t="str">
        <f t="shared" si="10"/>
        <v/>
      </c>
    </row>
    <row r="465" spans="1:4" x14ac:dyDescent="0.25">
      <c r="A465" s="24" t="str">
        <f>IF(AND(OR(ISNUMBER(SEARCH("必填",字段母版!$J$12)),ISNUMBER(SEARCH("必需",字段母版!$J$12))),字段母版!$K$12="",NOT(OR(字段母版!$I$12="上传资料提取",字段母版!$I$12="默认",字段母版!$I$12="派生",字段母版!$I$12="继承",字段母版!$I$12="Omnia自动",字段母版!$I$12="Agent执行",字段母版!$I$12="无需输入"))),字段母版!$A$12,"")</f>
        <v/>
      </c>
      <c r="B465" s="24" t="str">
        <f>IF(A465="","",字段母版!$G$12)</f>
        <v/>
      </c>
      <c r="C465" s="24" t="str">
        <f>IF(A465="","",字段母版!$I$12)</f>
        <v/>
      </c>
      <c r="D465" s="24" t="str">
        <f t="shared" si="10"/>
        <v/>
      </c>
    </row>
    <row r="466" spans="1:4" x14ac:dyDescent="0.25">
      <c r="A466" s="24" t="str">
        <f>IF(AND(OR(ISNUMBER(SEARCH("必填",字段母版!$J$13)),ISNUMBER(SEARCH("必需",字段母版!$J$13))),字段母版!$K$13="",NOT(OR(字段母版!$I$13="上传资料提取",字段母版!$I$13="默认",字段母版!$I$13="派生",字段母版!$I$13="继承",字段母版!$I$13="Omnia自动",字段母版!$I$13="Agent执行",字段母版!$I$13="无需输入"))),字段母版!$A$13,"")</f>
        <v/>
      </c>
      <c r="B466" s="24" t="str">
        <f>IF(A466="","",字段母版!$G$13)</f>
        <v/>
      </c>
      <c r="C466" s="24" t="str">
        <f>IF(A466="","",字段母版!$I$13)</f>
        <v/>
      </c>
      <c r="D466" s="24" t="str">
        <f t="shared" si="10"/>
        <v/>
      </c>
    </row>
    <row r="467" spans="1:4" x14ac:dyDescent="0.25">
      <c r="A467" s="24" t="str">
        <f>IF(AND(OR(ISNUMBER(SEARCH("必填",字段母版!$J$14)),ISNUMBER(SEARCH("必需",字段母版!$J$14))),字段母版!$K$14="",NOT(OR(字段母版!$I$14="上传资料提取",字段母版!$I$14="默认",字段母版!$I$14="派生",字段母版!$I$14="继承",字段母版!$I$14="Omnia自动",字段母版!$I$14="Agent执行",字段母版!$I$14="无需输入"))),字段母版!$A$14,"")</f>
        <v/>
      </c>
      <c r="B467" s="24" t="str">
        <f>IF(A467="","",字段母版!$G$14)</f>
        <v/>
      </c>
      <c r="C467" s="24" t="str">
        <f>IF(A467="","",字段母版!$I$14)</f>
        <v/>
      </c>
      <c r="D467" s="24" t="str">
        <f t="shared" si="10"/>
        <v/>
      </c>
    </row>
    <row r="468" spans="1:4" x14ac:dyDescent="0.25">
      <c r="A468" s="24" t="str">
        <f>IF(AND(OR(ISNUMBER(SEARCH("必填",字段母版!$J$15)),ISNUMBER(SEARCH("必需",字段母版!$J$15))),字段母版!$K$15="",NOT(OR(字段母版!$I$15="上传资料提取",字段母版!$I$15="默认",字段母版!$I$15="派生",字段母版!$I$15="继承",字段母版!$I$15="Omnia自动",字段母版!$I$15="Agent执行",字段母版!$I$15="无需输入"))),字段母版!$A$15,"")</f>
        <v/>
      </c>
      <c r="B468" s="24" t="str">
        <f>IF(A468="","",字段母版!$G$15)</f>
        <v/>
      </c>
      <c r="C468" s="24" t="str">
        <f>IF(A468="","",字段母版!$I$15)</f>
        <v/>
      </c>
      <c r="D468" s="24" t="str">
        <f t="shared" si="10"/>
        <v/>
      </c>
    </row>
    <row r="469" spans="1:4" x14ac:dyDescent="0.25">
      <c r="A469" s="24" t="str">
        <f>IF(AND(OR(ISNUMBER(SEARCH("必填",字段母版!$J$16)),ISNUMBER(SEARCH("必需",字段母版!$J$16))),字段母版!$K$16="",NOT(OR(字段母版!$I$16="上传资料提取",字段母版!$I$16="默认",字段母版!$I$16="派生",字段母版!$I$16="继承",字段母版!$I$16="Omnia自动",字段母版!$I$16="Agent执行",字段母版!$I$16="无需输入"))),字段母版!$A$16,"")</f>
        <v/>
      </c>
      <c r="B469" s="24" t="str">
        <f>IF(A469="","",字段母版!$G$16)</f>
        <v/>
      </c>
      <c r="C469" s="24" t="str">
        <f>IF(A469="","",字段母版!$I$16)</f>
        <v/>
      </c>
      <c r="D469" s="24" t="str">
        <f t="shared" si="10"/>
        <v/>
      </c>
    </row>
    <row r="470" spans="1:4" x14ac:dyDescent="0.25">
      <c r="A470" s="24" t="str">
        <f>IF(AND(OR(ISNUMBER(SEARCH("必填",字段母版!$J$17)),ISNUMBER(SEARCH("必需",字段母版!$J$17))),字段母版!$K$17="",NOT(OR(字段母版!$I$17="上传资料提取",字段母版!$I$17="默认",字段母版!$I$17="派生",字段母版!$I$17="继承",字段母版!$I$17="Omnia自动",字段母版!$I$17="Agent执行",字段母版!$I$17="无需输入"))),字段母版!$A$17,"")</f>
        <v/>
      </c>
      <c r="B470" s="24" t="str">
        <f>IF(A470="","",字段母版!$G$17)</f>
        <v/>
      </c>
      <c r="C470" s="24" t="str">
        <f>IF(A470="","",字段母版!$I$17)</f>
        <v/>
      </c>
      <c r="D470" s="24" t="str">
        <f t="shared" si="10"/>
        <v/>
      </c>
    </row>
    <row r="471" spans="1:4" x14ac:dyDescent="0.25">
      <c r="A471" s="24" t="str">
        <f>IF(AND(OR(ISNUMBER(SEARCH("必填",字段母版!$J$18)),ISNUMBER(SEARCH("必需",字段母版!$J$18))),字段母版!$K$18="",NOT(OR(字段母版!$I$18="上传资料提取",字段母版!$I$18="默认",字段母版!$I$18="派生",字段母版!$I$18="继承",字段母版!$I$18="Omnia自动",字段母版!$I$18="Agent执行",字段母版!$I$18="无需输入"))),字段母版!$A$18,"")</f>
        <v/>
      </c>
      <c r="B471" s="24" t="str">
        <f>IF(A471="","",字段母版!$G$18)</f>
        <v/>
      </c>
      <c r="C471" s="24" t="str">
        <f>IF(A471="","",字段母版!$I$18)</f>
        <v/>
      </c>
      <c r="D471" s="24" t="str">
        <f t="shared" si="10"/>
        <v/>
      </c>
    </row>
    <row r="472" spans="1:4" x14ac:dyDescent="0.25">
      <c r="A472" s="24" t="str">
        <f>IF(AND(OR(ISNUMBER(SEARCH("必填",字段母版!$J$19)),ISNUMBER(SEARCH("必需",字段母版!$J$19))),字段母版!$K$19="",NOT(OR(字段母版!$I$19="上传资料提取",字段母版!$I$19="默认",字段母版!$I$19="派生",字段母版!$I$19="继承",字段母版!$I$19="Omnia自动",字段母版!$I$19="Agent执行",字段母版!$I$19="无需输入"))),字段母版!$A$19,"")</f>
        <v/>
      </c>
      <c r="B472" s="24" t="str">
        <f>IF(A472="","",字段母版!$G$19)</f>
        <v/>
      </c>
      <c r="C472" s="24" t="str">
        <f>IF(A472="","",字段母版!$I$19)</f>
        <v/>
      </c>
      <c r="D472" s="24" t="str">
        <f t="shared" si="10"/>
        <v/>
      </c>
    </row>
    <row r="473" spans="1:4" x14ac:dyDescent="0.25">
      <c r="A473" s="24" t="str">
        <f>IF(AND(OR(ISNUMBER(SEARCH("必填",字段母版!$J$20)),ISNUMBER(SEARCH("必需",字段母版!$J$20))),字段母版!$K$20="",NOT(OR(字段母版!$I$20="上传资料提取",字段母版!$I$20="默认",字段母版!$I$20="派生",字段母版!$I$20="继承",字段母版!$I$20="Omnia自动",字段母版!$I$20="Agent执行",字段母版!$I$20="无需输入"))),字段母版!$A$20,"")</f>
        <v/>
      </c>
      <c r="B473" s="24" t="str">
        <f>IF(A473="","",字段母版!$G$20)</f>
        <v/>
      </c>
      <c r="C473" s="24" t="str">
        <f>IF(A473="","",字段母版!$I$20)</f>
        <v/>
      </c>
      <c r="D473" s="24" t="str">
        <f t="shared" si="10"/>
        <v/>
      </c>
    </row>
    <row r="474" spans="1:4" x14ac:dyDescent="0.25">
      <c r="A474" s="24" t="str">
        <f>IF(AND(OR(ISNUMBER(SEARCH("必填",字段母版!$J$21)),ISNUMBER(SEARCH("必需",字段母版!$J$21))),字段母版!$K$21="",NOT(OR(字段母版!$I$21="上传资料提取",字段母版!$I$21="默认",字段母版!$I$21="派生",字段母版!$I$21="继承",字段母版!$I$21="Omnia自动",字段母版!$I$21="Agent执行",字段母版!$I$21="无需输入"))),字段母版!$A$21,"")</f>
        <v/>
      </c>
      <c r="B474" s="24" t="str">
        <f>IF(A474="","",字段母版!$G$21)</f>
        <v/>
      </c>
      <c r="C474" s="24" t="str">
        <f>IF(A474="","",字段母版!$I$21)</f>
        <v/>
      </c>
      <c r="D474" s="24" t="str">
        <f t="shared" si="10"/>
        <v/>
      </c>
    </row>
    <row r="475" spans="1:4" x14ac:dyDescent="0.25">
      <c r="A475" s="24" t="str">
        <f>IF(AND(OR(ISNUMBER(SEARCH("必填",字段母版!$J$22)),ISNUMBER(SEARCH("必需",字段母版!$J$22))),字段母版!$K$22="",NOT(OR(字段母版!$I$22="上传资料提取",字段母版!$I$22="默认",字段母版!$I$22="派生",字段母版!$I$22="继承",字段母版!$I$22="Omnia自动",字段母版!$I$22="Agent执行",字段母版!$I$22="无需输入"))),字段母版!$A$22,"")</f>
        <v/>
      </c>
      <c r="B475" s="24" t="str">
        <f>IF(A475="","",字段母版!$G$22)</f>
        <v/>
      </c>
      <c r="C475" s="24" t="str">
        <f>IF(A475="","",字段母版!$I$22)</f>
        <v/>
      </c>
      <c r="D475" s="24" t="str">
        <f t="shared" si="10"/>
        <v/>
      </c>
    </row>
    <row r="476" spans="1:4" x14ac:dyDescent="0.25">
      <c r="A476" s="24" t="str">
        <f>IF(AND(OR(ISNUMBER(SEARCH("必填",字段母版!$J$23)),ISNUMBER(SEARCH("必需",字段母版!$J$23))),字段母版!$K$23="",NOT(OR(字段母版!$I$23="上传资料提取",字段母版!$I$23="默认",字段母版!$I$23="派生",字段母版!$I$23="继承",字段母版!$I$23="Omnia自动",字段母版!$I$23="Agent执行",字段母版!$I$23="无需输入"))),字段母版!$A$23,"")</f>
        <v/>
      </c>
      <c r="B476" s="24" t="str">
        <f>IF(A476="","",字段母版!$G$23)</f>
        <v/>
      </c>
      <c r="C476" s="24" t="str">
        <f>IF(A476="","",字段母版!$I$23)</f>
        <v/>
      </c>
      <c r="D476" s="24" t="str">
        <f t="shared" si="10"/>
        <v/>
      </c>
    </row>
    <row r="477" spans="1:4" x14ac:dyDescent="0.25">
      <c r="A477" s="24" t="str">
        <f>IF(AND(OR(ISNUMBER(SEARCH("必填",字段母版!$J$24)),ISNUMBER(SEARCH("必需",字段母版!$J$24))),字段母版!$K$24="",NOT(OR(字段母版!$I$24="上传资料提取",字段母版!$I$24="默认",字段母版!$I$24="派生",字段母版!$I$24="继承",字段母版!$I$24="Omnia自动",字段母版!$I$24="Agent执行",字段母版!$I$24="无需输入"))),字段母版!$A$24,"")</f>
        <v/>
      </c>
      <c r="B477" s="24" t="str">
        <f>IF(A477="","",字段母版!$G$24)</f>
        <v/>
      </c>
      <c r="C477" s="24" t="str">
        <f>IF(A477="","",字段母版!$I$24)</f>
        <v/>
      </c>
      <c r="D477" s="24" t="str">
        <f t="shared" si="10"/>
        <v/>
      </c>
    </row>
    <row r="478" spans="1:4" x14ac:dyDescent="0.25">
      <c r="A478" s="24" t="str">
        <f>IF(AND(OR(ISNUMBER(SEARCH("必填",字段母版!$J$25)),ISNUMBER(SEARCH("必需",字段母版!$J$25))),字段母版!$K$25="",NOT(OR(字段母版!$I$25="上传资料提取",字段母版!$I$25="默认",字段母版!$I$25="派生",字段母版!$I$25="继承",字段母版!$I$25="Omnia自动",字段母版!$I$25="Agent执行",字段母版!$I$25="无需输入"))),字段母版!$A$25,"")</f>
        <v/>
      </c>
      <c r="B478" s="24" t="str">
        <f>IF(A478="","",字段母版!$G$25)</f>
        <v/>
      </c>
      <c r="C478" s="24" t="str">
        <f>IF(A478="","",字段母版!$I$25)</f>
        <v/>
      </c>
      <c r="D478" s="24" t="str">
        <f t="shared" si="10"/>
        <v/>
      </c>
    </row>
    <row r="479" spans="1:4" x14ac:dyDescent="0.25">
      <c r="A479" s="24" t="str">
        <f>IF(AND(OR(ISNUMBER(SEARCH("必填",字段母版!$J$26)),ISNUMBER(SEARCH("必需",字段母版!$J$26))),字段母版!$K$26="",NOT(OR(字段母版!$I$26="上传资料提取",字段母版!$I$26="默认",字段母版!$I$26="派生",字段母版!$I$26="继承",字段母版!$I$26="Omnia自动",字段母版!$I$26="Agent执行",字段母版!$I$26="无需输入"))),字段母版!$A$26,"")</f>
        <v/>
      </c>
      <c r="B479" s="24" t="str">
        <f>IF(A479="","",字段母版!$G$26)</f>
        <v/>
      </c>
      <c r="C479" s="24" t="str">
        <f>IF(A479="","",字段母版!$I$26)</f>
        <v/>
      </c>
      <c r="D479" s="24" t="str">
        <f t="shared" si="10"/>
        <v/>
      </c>
    </row>
    <row r="480" spans="1:4" x14ac:dyDescent="0.25">
      <c r="A480" s="24" t="str">
        <f>IF(AND(OR(ISNUMBER(SEARCH("必填",字段母版!$J$27)),ISNUMBER(SEARCH("必需",字段母版!$J$27))),字段母版!$K$27="",NOT(OR(字段母版!$I$27="上传资料提取",字段母版!$I$27="默认",字段母版!$I$27="派生",字段母版!$I$27="继承",字段母版!$I$27="Omnia自动",字段母版!$I$27="Agent执行",字段母版!$I$27="无需输入"))),字段母版!$A$27,"")</f>
        <v/>
      </c>
      <c r="B480" s="24" t="str">
        <f>IF(A480="","",字段母版!$G$27)</f>
        <v/>
      </c>
      <c r="C480" s="24" t="str">
        <f>IF(A480="","",字段母版!$I$27)</f>
        <v/>
      </c>
      <c r="D480" s="24" t="str">
        <f t="shared" si="10"/>
        <v/>
      </c>
    </row>
    <row r="481" spans="1:4" x14ac:dyDescent="0.25">
      <c r="A481" s="24" t="str">
        <f>IF(AND(OR(ISNUMBER(SEARCH("必填",字段母版!$J$28)),ISNUMBER(SEARCH("必需",字段母版!$J$28))),字段母版!$K$28="",NOT(OR(字段母版!$I$28="上传资料提取",字段母版!$I$28="默认",字段母版!$I$28="派生",字段母版!$I$28="继承",字段母版!$I$28="Omnia自动",字段母版!$I$28="Agent执行",字段母版!$I$28="无需输入"))),字段母版!$A$28,"")</f>
        <v/>
      </c>
      <c r="B481" s="24" t="str">
        <f>IF(A481="","",字段母版!$G$28)</f>
        <v/>
      </c>
      <c r="C481" s="24" t="str">
        <f>IF(A481="","",字段母版!$I$28)</f>
        <v/>
      </c>
      <c r="D481" s="24" t="str">
        <f t="shared" si="10"/>
        <v/>
      </c>
    </row>
    <row r="482" spans="1:4" x14ac:dyDescent="0.25">
      <c r="A482" s="24" t="str">
        <f>IF(AND(OR(ISNUMBER(SEARCH("必填",字段母版!$J$29)),ISNUMBER(SEARCH("必需",字段母版!$J$29))),字段母版!$K$29="",NOT(OR(字段母版!$I$29="上传资料提取",字段母版!$I$29="默认",字段母版!$I$29="派生",字段母版!$I$29="继承",字段母版!$I$29="Omnia自动",字段母版!$I$29="Agent执行",字段母版!$I$29="无需输入"))),字段母版!$A$29,"")</f>
        <v/>
      </c>
      <c r="B482" s="24" t="str">
        <f>IF(A482="","",字段母版!$G$29)</f>
        <v/>
      </c>
      <c r="C482" s="24" t="str">
        <f>IF(A482="","",字段母版!$I$29)</f>
        <v/>
      </c>
      <c r="D482" s="24" t="str">
        <f t="shared" si="10"/>
        <v/>
      </c>
    </row>
    <row r="483" spans="1:4" x14ac:dyDescent="0.25">
      <c r="A483" s="24" t="str">
        <f>IF(AND(OR(ISNUMBER(SEARCH("必填",字段母版!$J$30)),ISNUMBER(SEARCH("必需",字段母版!$J$30))),字段母版!$K$30="",NOT(OR(字段母版!$I$30="上传资料提取",字段母版!$I$30="默认",字段母版!$I$30="派生",字段母版!$I$30="继承",字段母版!$I$30="Omnia自动",字段母版!$I$30="Agent执行",字段母版!$I$30="无需输入"))),字段母版!$A$30,"")</f>
        <v/>
      </c>
      <c r="B483" s="24" t="str">
        <f>IF(A483="","",字段母版!$G$30)</f>
        <v/>
      </c>
      <c r="C483" s="24" t="str">
        <f>IF(A483="","",字段母版!$I$30)</f>
        <v/>
      </c>
      <c r="D483" s="24" t="str">
        <f t="shared" si="10"/>
        <v/>
      </c>
    </row>
    <row r="484" spans="1:4" x14ac:dyDescent="0.25">
      <c r="A484" s="24" t="str">
        <f>IF(AND(OR(ISNUMBER(SEARCH("必填",字段母版!$J$31)),ISNUMBER(SEARCH("必需",字段母版!$J$31))),字段母版!$K$31="",NOT(OR(字段母版!$I$31="上传资料提取",字段母版!$I$31="默认",字段母版!$I$31="派生",字段母版!$I$31="继承",字段母版!$I$31="Omnia自动",字段母版!$I$31="Agent执行",字段母版!$I$31="无需输入"))),字段母版!$A$31,"")</f>
        <v/>
      </c>
      <c r="B484" s="24" t="str">
        <f>IF(A484="","",字段母版!$G$31)</f>
        <v/>
      </c>
      <c r="C484" s="24" t="str">
        <f>IF(A484="","",字段母版!$I$31)</f>
        <v/>
      </c>
      <c r="D484" s="24" t="str">
        <f t="shared" si="10"/>
        <v/>
      </c>
    </row>
    <row r="485" spans="1:4" x14ac:dyDescent="0.25">
      <c r="A485" s="24" t="str">
        <f>IF(AND(OR(ISNUMBER(SEARCH("必填",字段母版!$J$32)),ISNUMBER(SEARCH("必需",字段母版!$J$32))),字段母版!$K$32="",NOT(OR(字段母版!$I$32="上传资料提取",字段母版!$I$32="默认",字段母版!$I$32="派生",字段母版!$I$32="继承",字段母版!$I$32="Omnia自动",字段母版!$I$32="Agent执行",字段母版!$I$32="无需输入"))),字段母版!$A$32,"")</f>
        <v/>
      </c>
      <c r="B485" s="24" t="str">
        <f>IF(A485="","",字段母版!$G$32)</f>
        <v/>
      </c>
      <c r="C485" s="24" t="str">
        <f>IF(A485="","",字段母版!$I$32)</f>
        <v/>
      </c>
      <c r="D485" s="24" t="str">
        <f t="shared" si="10"/>
        <v/>
      </c>
    </row>
    <row r="486" spans="1:4" x14ac:dyDescent="0.25">
      <c r="A486" s="24" t="str">
        <f>IF(AND(OR(ISNUMBER(SEARCH("必填",字段母版!$J$33)),ISNUMBER(SEARCH("必需",字段母版!$J$33))),字段母版!$K$33="",NOT(OR(字段母版!$I$33="上传资料提取",字段母版!$I$33="默认",字段母版!$I$33="派生",字段母版!$I$33="继承",字段母版!$I$33="Omnia自动",字段母版!$I$33="Agent执行",字段母版!$I$33="无需输入"))),字段母版!$A$33,"")</f>
        <v/>
      </c>
      <c r="B486" s="24" t="str">
        <f>IF(A486="","",字段母版!$G$33)</f>
        <v/>
      </c>
      <c r="C486" s="24" t="str">
        <f>IF(A486="","",字段母版!$I$33)</f>
        <v/>
      </c>
      <c r="D486" s="24" t="str">
        <f t="shared" si="10"/>
        <v/>
      </c>
    </row>
    <row r="487" spans="1:4" x14ac:dyDescent="0.25">
      <c r="A487" s="24" t="str">
        <f>IF(AND(OR(ISNUMBER(SEARCH("必填",字段母版!$J$34)),ISNUMBER(SEARCH("必需",字段母版!$J$34))),字段母版!$K$34="",NOT(OR(字段母版!$I$34="上传资料提取",字段母版!$I$34="默认",字段母版!$I$34="派生",字段母版!$I$34="继承",字段母版!$I$34="Omnia自动",字段母版!$I$34="Agent执行",字段母版!$I$34="无需输入"))),字段母版!$A$34,"")</f>
        <v/>
      </c>
      <c r="B487" s="24" t="str">
        <f>IF(A487="","",字段母版!$G$34)</f>
        <v/>
      </c>
      <c r="C487" s="24" t="str">
        <f>IF(A487="","",字段母版!$I$34)</f>
        <v/>
      </c>
      <c r="D487" s="24" t="str">
        <f t="shared" si="10"/>
        <v/>
      </c>
    </row>
    <row r="488" spans="1:4" x14ac:dyDescent="0.25">
      <c r="A488" s="24" t="str">
        <f>IF(AND(OR(ISNUMBER(SEARCH("必填",字段母版!$J$35)),ISNUMBER(SEARCH("必需",字段母版!$J$35))),字段母版!$K$35="",NOT(OR(字段母版!$I$35="上传资料提取",字段母版!$I$35="默认",字段母版!$I$35="派生",字段母版!$I$35="继承",字段母版!$I$35="Omnia自动",字段母版!$I$35="Agent执行",字段母版!$I$35="无需输入"))),字段母版!$A$35,"")</f>
        <v/>
      </c>
      <c r="B488" s="24" t="str">
        <f>IF(A488="","",字段母版!$G$35)</f>
        <v/>
      </c>
      <c r="C488" s="24" t="str">
        <f>IF(A488="","",字段母版!$I$35)</f>
        <v/>
      </c>
      <c r="D488" s="24" t="str">
        <f t="shared" si="10"/>
        <v/>
      </c>
    </row>
    <row r="489" spans="1:4" x14ac:dyDescent="0.25">
      <c r="A489" s="24" t="str">
        <f>IF(AND(OR(ISNUMBER(SEARCH("必填",字段母版!$J$36)),ISNUMBER(SEARCH("必需",字段母版!$J$36))),字段母版!$K$36="",NOT(OR(字段母版!$I$36="上传资料提取",字段母版!$I$36="默认",字段母版!$I$36="派生",字段母版!$I$36="继承",字段母版!$I$36="Omnia自动",字段母版!$I$36="Agent执行",字段母版!$I$36="无需输入"))),字段母版!$A$36,"")</f>
        <v/>
      </c>
      <c r="B489" s="24" t="str">
        <f>IF(A489="","",字段母版!$G$36)</f>
        <v/>
      </c>
      <c r="C489" s="24" t="str">
        <f>IF(A489="","",字段母版!$I$36)</f>
        <v/>
      </c>
      <c r="D489" s="24" t="str">
        <f t="shared" si="10"/>
        <v/>
      </c>
    </row>
    <row r="490" spans="1:4" x14ac:dyDescent="0.25">
      <c r="A490" s="24" t="str">
        <f>IF(AND(OR(ISNUMBER(SEARCH("必填",字段母版!$J$37)),ISNUMBER(SEARCH("必需",字段母版!$J$37))),字段母版!$K$37="",NOT(OR(字段母版!$I$37="上传资料提取",字段母版!$I$37="默认",字段母版!$I$37="派生",字段母版!$I$37="继承",字段母版!$I$37="Omnia自动",字段母版!$I$37="Agent执行",字段母版!$I$37="无需输入"))),字段母版!$A$37,"")</f>
        <v/>
      </c>
      <c r="B490" s="24" t="str">
        <f>IF(A490="","",字段母版!$G$37)</f>
        <v/>
      </c>
      <c r="C490" s="24" t="str">
        <f>IF(A490="","",字段母版!$I$37)</f>
        <v/>
      </c>
      <c r="D490" s="24" t="str">
        <f t="shared" ref="D490:D521" si="11">IF(A490="","","必填策略既无默认/回退也无明确上传/派生/继承/自动来源")</f>
        <v/>
      </c>
    </row>
    <row r="491" spans="1:4" x14ac:dyDescent="0.25">
      <c r="A491" s="24" t="str">
        <f>IF(AND(OR(ISNUMBER(SEARCH("必填",字段母版!$J$38)),ISNUMBER(SEARCH("必需",字段母版!$J$38))),字段母版!$K$38="",NOT(OR(字段母版!$I$38="上传资料提取",字段母版!$I$38="默认",字段母版!$I$38="派生",字段母版!$I$38="继承",字段母版!$I$38="Omnia自动",字段母版!$I$38="Agent执行",字段母版!$I$38="无需输入"))),字段母版!$A$38,"")</f>
        <v/>
      </c>
      <c r="B491" s="24" t="str">
        <f>IF(A491="","",字段母版!$G$38)</f>
        <v/>
      </c>
      <c r="C491" s="24" t="str">
        <f>IF(A491="","",字段母版!$I$38)</f>
        <v/>
      </c>
      <c r="D491" s="24" t="str">
        <f t="shared" si="11"/>
        <v/>
      </c>
    </row>
    <row r="492" spans="1:4" x14ac:dyDescent="0.25">
      <c r="A492" s="24" t="str">
        <f>IF(AND(OR(ISNUMBER(SEARCH("必填",字段母版!$J$39)),ISNUMBER(SEARCH("必需",字段母版!$J$39))),字段母版!$K$39="",NOT(OR(字段母版!$I$39="上传资料提取",字段母版!$I$39="默认",字段母版!$I$39="派生",字段母版!$I$39="继承",字段母版!$I$39="Omnia自动",字段母版!$I$39="Agent执行",字段母版!$I$39="无需输入"))),字段母版!$A$39,"")</f>
        <v/>
      </c>
      <c r="B492" s="24" t="str">
        <f>IF(A492="","",字段母版!$G$39)</f>
        <v/>
      </c>
      <c r="C492" s="24" t="str">
        <f>IF(A492="","",字段母版!$I$39)</f>
        <v/>
      </c>
      <c r="D492" s="24" t="str">
        <f t="shared" si="11"/>
        <v/>
      </c>
    </row>
    <row r="493" spans="1:4" x14ac:dyDescent="0.25">
      <c r="A493" s="24" t="str">
        <f>IF(AND(OR(ISNUMBER(SEARCH("必填",字段母版!$J$40)),ISNUMBER(SEARCH("必需",字段母版!$J$40))),字段母版!$K$40="",NOT(OR(字段母版!$I$40="上传资料提取",字段母版!$I$40="默认",字段母版!$I$40="派生",字段母版!$I$40="继承",字段母版!$I$40="Omnia自动",字段母版!$I$40="Agent执行",字段母版!$I$40="无需输入"))),字段母版!$A$40,"")</f>
        <v/>
      </c>
      <c r="B493" s="24" t="str">
        <f>IF(A493="","",字段母版!$G$40)</f>
        <v/>
      </c>
      <c r="C493" s="24" t="str">
        <f>IF(A493="","",字段母版!$I$40)</f>
        <v/>
      </c>
      <c r="D493" s="24" t="str">
        <f t="shared" si="11"/>
        <v/>
      </c>
    </row>
    <row r="494" spans="1:4" x14ac:dyDescent="0.25">
      <c r="A494" s="24" t="str">
        <f>IF(AND(OR(ISNUMBER(SEARCH("必填",字段母版!$J$41)),ISNUMBER(SEARCH("必需",字段母版!$J$41))),字段母版!$K$41="",NOT(OR(字段母版!$I$41="上传资料提取",字段母版!$I$41="默认",字段母版!$I$41="派生",字段母版!$I$41="继承",字段母版!$I$41="Omnia自动",字段母版!$I$41="Agent执行",字段母版!$I$41="无需输入"))),字段母版!$A$41,"")</f>
        <v/>
      </c>
      <c r="B494" s="24" t="str">
        <f>IF(A494="","",字段母版!$G$41)</f>
        <v/>
      </c>
      <c r="C494" s="24" t="str">
        <f>IF(A494="","",字段母版!$I$41)</f>
        <v/>
      </c>
      <c r="D494" s="24" t="str">
        <f t="shared" si="11"/>
        <v/>
      </c>
    </row>
    <row r="495" spans="1:4" x14ac:dyDescent="0.25">
      <c r="A495" s="24" t="str">
        <f>IF(AND(OR(ISNUMBER(SEARCH("必填",字段母版!$J$42)),ISNUMBER(SEARCH("必需",字段母版!$J$42))),字段母版!$K$42="",NOT(OR(字段母版!$I$42="上传资料提取",字段母版!$I$42="默认",字段母版!$I$42="派生",字段母版!$I$42="继承",字段母版!$I$42="Omnia自动",字段母版!$I$42="Agent执行",字段母版!$I$42="无需输入"))),字段母版!$A$42,"")</f>
        <v/>
      </c>
      <c r="B495" s="24" t="str">
        <f>IF(A495="","",字段母版!$G$42)</f>
        <v/>
      </c>
      <c r="C495" s="24" t="str">
        <f>IF(A495="","",字段母版!$I$42)</f>
        <v/>
      </c>
      <c r="D495" s="24" t="str">
        <f t="shared" si="11"/>
        <v/>
      </c>
    </row>
    <row r="496" spans="1:4" x14ac:dyDescent="0.25">
      <c r="A496" s="24" t="str">
        <f>IF(AND(OR(ISNUMBER(SEARCH("必填",字段母版!$J$43)),ISNUMBER(SEARCH("必需",字段母版!$J$43))),字段母版!$K$43="",NOT(OR(字段母版!$I$43="上传资料提取",字段母版!$I$43="默认",字段母版!$I$43="派生",字段母版!$I$43="继承",字段母版!$I$43="Omnia自动",字段母版!$I$43="Agent执行",字段母版!$I$43="无需输入"))),字段母版!$A$43,"")</f>
        <v/>
      </c>
      <c r="B496" s="24" t="str">
        <f>IF(A496="","",字段母版!$G$43)</f>
        <v/>
      </c>
      <c r="C496" s="24" t="str">
        <f>IF(A496="","",字段母版!$I$43)</f>
        <v/>
      </c>
      <c r="D496" s="24" t="str">
        <f t="shared" si="11"/>
        <v/>
      </c>
    </row>
    <row r="497" spans="1:4" x14ac:dyDescent="0.25">
      <c r="A497" s="24" t="str">
        <f>IF(AND(OR(ISNUMBER(SEARCH("必填",字段母版!$J$44)),ISNUMBER(SEARCH("必需",字段母版!$J$44))),字段母版!$K$44="",NOT(OR(字段母版!$I$44="上传资料提取",字段母版!$I$44="默认",字段母版!$I$44="派生",字段母版!$I$44="继承",字段母版!$I$44="Omnia自动",字段母版!$I$44="Agent执行",字段母版!$I$44="无需输入"))),字段母版!$A$44,"")</f>
        <v/>
      </c>
      <c r="B497" s="24" t="str">
        <f>IF(A497="","",字段母版!$G$44)</f>
        <v/>
      </c>
      <c r="C497" s="24" t="str">
        <f>IF(A497="","",字段母版!$I$44)</f>
        <v/>
      </c>
      <c r="D497" s="24" t="str">
        <f t="shared" si="11"/>
        <v/>
      </c>
    </row>
    <row r="498" spans="1:4" x14ac:dyDescent="0.25">
      <c r="A498" s="24" t="str">
        <f>IF(AND(OR(ISNUMBER(SEARCH("必填",字段母版!$J$45)),ISNUMBER(SEARCH("必需",字段母版!$J$45))),字段母版!$K$45="",NOT(OR(字段母版!$I$45="上传资料提取",字段母版!$I$45="默认",字段母版!$I$45="派生",字段母版!$I$45="继承",字段母版!$I$45="Omnia自动",字段母版!$I$45="Agent执行",字段母版!$I$45="无需输入"))),字段母版!$A$45,"")</f>
        <v/>
      </c>
      <c r="B498" s="24" t="str">
        <f>IF(A498="","",字段母版!$G$45)</f>
        <v/>
      </c>
      <c r="C498" s="24" t="str">
        <f>IF(A498="","",字段母版!$I$45)</f>
        <v/>
      </c>
      <c r="D498" s="24" t="str">
        <f t="shared" si="11"/>
        <v/>
      </c>
    </row>
    <row r="499" spans="1:4" x14ac:dyDescent="0.25">
      <c r="A499" s="24" t="str">
        <f>IF(AND(OR(ISNUMBER(SEARCH("必填",字段母版!$J$46)),ISNUMBER(SEARCH("必需",字段母版!$J$46))),字段母版!$K$46="",NOT(OR(字段母版!$I$46="上传资料提取",字段母版!$I$46="默认",字段母版!$I$46="派生",字段母版!$I$46="继承",字段母版!$I$46="Omnia自动",字段母版!$I$46="Agent执行",字段母版!$I$46="无需输入"))),字段母版!$A$46,"")</f>
        <v/>
      </c>
      <c r="B499" s="24" t="str">
        <f>IF(A499="","",字段母版!$G$46)</f>
        <v/>
      </c>
      <c r="C499" s="24" t="str">
        <f>IF(A499="","",字段母版!$I$46)</f>
        <v/>
      </c>
      <c r="D499" s="24" t="str">
        <f t="shared" si="11"/>
        <v/>
      </c>
    </row>
    <row r="500" spans="1:4" x14ac:dyDescent="0.25">
      <c r="A500" s="24" t="str">
        <f>IF(AND(OR(ISNUMBER(SEARCH("必填",字段母版!$J$47)),ISNUMBER(SEARCH("必需",字段母版!$J$47))),字段母版!$K$47="",NOT(OR(字段母版!$I$47="上传资料提取",字段母版!$I$47="默认",字段母版!$I$47="派生",字段母版!$I$47="继承",字段母版!$I$47="Omnia自动",字段母版!$I$47="Agent执行",字段母版!$I$47="无需输入"))),字段母版!$A$47,"")</f>
        <v/>
      </c>
      <c r="B500" s="24" t="str">
        <f>IF(A500="","",字段母版!$G$47)</f>
        <v/>
      </c>
      <c r="C500" s="24" t="str">
        <f>IF(A500="","",字段母版!$I$47)</f>
        <v/>
      </c>
      <c r="D500" s="24" t="str">
        <f t="shared" si="11"/>
        <v/>
      </c>
    </row>
    <row r="501" spans="1:4" x14ac:dyDescent="0.25">
      <c r="A501" s="24" t="str">
        <f>IF(AND(OR(ISNUMBER(SEARCH("必填",字段母版!$J$48)),ISNUMBER(SEARCH("必需",字段母版!$J$48))),字段母版!$K$48="",NOT(OR(字段母版!$I$48="上传资料提取",字段母版!$I$48="默认",字段母版!$I$48="派生",字段母版!$I$48="继承",字段母版!$I$48="Omnia自动",字段母版!$I$48="Agent执行",字段母版!$I$48="无需输入"))),字段母版!$A$48,"")</f>
        <v/>
      </c>
      <c r="B501" s="24" t="str">
        <f>IF(A501="","",字段母版!$G$48)</f>
        <v/>
      </c>
      <c r="C501" s="24" t="str">
        <f>IF(A501="","",字段母版!$I$48)</f>
        <v/>
      </c>
      <c r="D501" s="24" t="str">
        <f t="shared" si="11"/>
        <v/>
      </c>
    </row>
    <row r="502" spans="1:4" x14ac:dyDescent="0.25">
      <c r="A502" s="24" t="str">
        <f>IF(AND(OR(ISNUMBER(SEARCH("必填",字段母版!$J$49)),ISNUMBER(SEARCH("必需",字段母版!$J$49))),字段母版!$K$49="",NOT(OR(字段母版!$I$49="上传资料提取",字段母版!$I$49="默认",字段母版!$I$49="派生",字段母版!$I$49="继承",字段母版!$I$49="Omnia自动",字段母版!$I$49="Agent执行",字段母版!$I$49="无需输入"))),字段母版!$A$49,"")</f>
        <v/>
      </c>
      <c r="B502" s="24" t="str">
        <f>IF(A502="","",字段母版!$G$49)</f>
        <v/>
      </c>
      <c r="C502" s="24" t="str">
        <f>IF(A502="","",字段母版!$I$49)</f>
        <v/>
      </c>
      <c r="D502" s="24" t="str">
        <f t="shared" si="11"/>
        <v/>
      </c>
    </row>
    <row r="503" spans="1:4" x14ac:dyDescent="0.25">
      <c r="A503" s="24" t="str">
        <f>IF(AND(OR(ISNUMBER(SEARCH("必填",字段母版!$J$50)),ISNUMBER(SEARCH("必需",字段母版!$J$50))),字段母版!$K$50="",NOT(OR(字段母版!$I$50="上传资料提取",字段母版!$I$50="默认",字段母版!$I$50="派生",字段母版!$I$50="继承",字段母版!$I$50="Omnia自动",字段母版!$I$50="Agent执行",字段母版!$I$50="无需输入"))),字段母版!$A$50,"")</f>
        <v/>
      </c>
      <c r="B503" s="24" t="str">
        <f>IF(A503="","",字段母版!$G$50)</f>
        <v/>
      </c>
      <c r="C503" s="24" t="str">
        <f>IF(A503="","",字段母版!$I$50)</f>
        <v/>
      </c>
      <c r="D503" s="24" t="str">
        <f t="shared" si="11"/>
        <v/>
      </c>
    </row>
    <row r="504" spans="1:4" x14ac:dyDescent="0.25">
      <c r="A504" s="24" t="str">
        <f>IF(AND(OR(ISNUMBER(SEARCH("必填",字段母版!$J$51)),ISNUMBER(SEARCH("必需",字段母版!$J$51))),字段母版!$K$51="",NOT(OR(字段母版!$I$51="上传资料提取",字段母版!$I$51="默认",字段母版!$I$51="派生",字段母版!$I$51="继承",字段母版!$I$51="Omnia自动",字段母版!$I$51="Agent执行",字段母版!$I$51="无需输入"))),字段母版!$A$51,"")</f>
        <v/>
      </c>
      <c r="B504" s="24" t="str">
        <f>IF(A504="","",字段母版!$G$51)</f>
        <v/>
      </c>
      <c r="C504" s="24" t="str">
        <f>IF(A504="","",字段母版!$I$51)</f>
        <v/>
      </c>
      <c r="D504" s="24" t="str">
        <f t="shared" si="11"/>
        <v/>
      </c>
    </row>
    <row r="505" spans="1:4" x14ac:dyDescent="0.25">
      <c r="A505" s="24" t="str">
        <f>IF(AND(OR(ISNUMBER(SEARCH("必填",字段母版!$J$52)),ISNUMBER(SEARCH("必需",字段母版!$J$52))),字段母版!$K$52="",NOT(OR(字段母版!$I$52="上传资料提取",字段母版!$I$52="默认",字段母版!$I$52="派生",字段母版!$I$52="继承",字段母版!$I$52="Omnia自动",字段母版!$I$52="Agent执行",字段母版!$I$52="无需输入"))),字段母版!$A$52,"")</f>
        <v/>
      </c>
      <c r="B505" s="24" t="str">
        <f>IF(A505="","",字段母版!$G$52)</f>
        <v/>
      </c>
      <c r="C505" s="24" t="str">
        <f>IF(A505="","",字段母版!$I$52)</f>
        <v/>
      </c>
      <c r="D505" s="24" t="str">
        <f t="shared" si="11"/>
        <v/>
      </c>
    </row>
    <row r="506" spans="1:4" x14ac:dyDescent="0.25">
      <c r="A506" s="24" t="str">
        <f>IF(AND(OR(ISNUMBER(SEARCH("必填",字段母版!$J$53)),ISNUMBER(SEARCH("必需",字段母版!$J$53))),字段母版!$K$53="",NOT(OR(字段母版!$I$53="上传资料提取",字段母版!$I$53="默认",字段母版!$I$53="派生",字段母版!$I$53="继承",字段母版!$I$53="Omnia自动",字段母版!$I$53="Agent执行",字段母版!$I$53="无需输入"))),字段母版!$A$53,"")</f>
        <v/>
      </c>
      <c r="B506" s="24" t="str">
        <f>IF(A506="","",字段母版!$G$53)</f>
        <v/>
      </c>
      <c r="C506" s="24" t="str">
        <f>IF(A506="","",字段母版!$I$53)</f>
        <v/>
      </c>
      <c r="D506" s="24" t="str">
        <f t="shared" si="11"/>
        <v/>
      </c>
    </row>
    <row r="507" spans="1:4" x14ac:dyDescent="0.25">
      <c r="A507" s="24" t="str">
        <f>IF(AND(OR(ISNUMBER(SEARCH("必填",字段母版!$J$54)),ISNUMBER(SEARCH("必需",字段母版!$J$54))),字段母版!$K$54="",NOT(OR(字段母版!$I$54="上传资料提取",字段母版!$I$54="默认",字段母版!$I$54="派生",字段母版!$I$54="继承",字段母版!$I$54="Omnia自动",字段母版!$I$54="Agent执行",字段母版!$I$54="无需输入"))),字段母版!$A$54,"")</f>
        <v/>
      </c>
      <c r="B507" s="24" t="str">
        <f>IF(A507="","",字段母版!$G$54)</f>
        <v/>
      </c>
      <c r="C507" s="24" t="str">
        <f>IF(A507="","",字段母版!$I$54)</f>
        <v/>
      </c>
      <c r="D507" s="24" t="str">
        <f t="shared" si="11"/>
        <v/>
      </c>
    </row>
    <row r="508" spans="1:4" x14ac:dyDescent="0.25">
      <c r="A508" s="24" t="str">
        <f>IF(AND(OR(ISNUMBER(SEARCH("必填",字段母版!$J$55)),ISNUMBER(SEARCH("必需",字段母版!$J$55))),字段母版!$K$55="",NOT(OR(字段母版!$I$55="上传资料提取",字段母版!$I$55="默认",字段母版!$I$55="派生",字段母版!$I$55="继承",字段母版!$I$55="Omnia自动",字段母版!$I$55="Agent执行",字段母版!$I$55="无需输入"))),字段母版!$A$55,"")</f>
        <v/>
      </c>
      <c r="B508" s="24" t="str">
        <f>IF(A508="","",字段母版!$G$55)</f>
        <v/>
      </c>
      <c r="C508" s="24" t="str">
        <f>IF(A508="","",字段母版!$I$55)</f>
        <v/>
      </c>
      <c r="D508" s="24" t="str">
        <f t="shared" si="11"/>
        <v/>
      </c>
    </row>
    <row r="509" spans="1:4" x14ac:dyDescent="0.25">
      <c r="A509" s="24" t="str">
        <f>IF(AND(OR(ISNUMBER(SEARCH("必填",字段母版!$J$56)),ISNUMBER(SEARCH("必需",字段母版!$J$56))),字段母版!$K$56="",NOT(OR(字段母版!$I$56="上传资料提取",字段母版!$I$56="默认",字段母版!$I$56="派生",字段母版!$I$56="继承",字段母版!$I$56="Omnia自动",字段母版!$I$56="Agent执行",字段母版!$I$56="无需输入"))),字段母版!$A$56,"")</f>
        <v/>
      </c>
      <c r="B509" s="24" t="str">
        <f>IF(A509="","",字段母版!$G$56)</f>
        <v/>
      </c>
      <c r="C509" s="24" t="str">
        <f>IF(A509="","",字段母版!$I$56)</f>
        <v/>
      </c>
      <c r="D509" s="24" t="str">
        <f t="shared" si="11"/>
        <v/>
      </c>
    </row>
    <row r="510" spans="1:4" x14ac:dyDescent="0.25">
      <c r="A510" s="24" t="str">
        <f>IF(AND(OR(ISNUMBER(SEARCH("必填",字段母版!$J$57)),ISNUMBER(SEARCH("必需",字段母版!$J$57))),字段母版!$K$57="",NOT(OR(字段母版!$I$57="上传资料提取",字段母版!$I$57="默认",字段母版!$I$57="派生",字段母版!$I$57="继承",字段母版!$I$57="Omnia自动",字段母版!$I$57="Agent执行",字段母版!$I$57="无需输入"))),字段母版!$A$57,"")</f>
        <v/>
      </c>
      <c r="B510" s="24" t="str">
        <f>IF(A510="","",字段母版!$G$57)</f>
        <v/>
      </c>
      <c r="C510" s="24" t="str">
        <f>IF(A510="","",字段母版!$I$57)</f>
        <v/>
      </c>
      <c r="D510" s="24" t="str">
        <f t="shared" si="11"/>
        <v/>
      </c>
    </row>
    <row r="511" spans="1:4" x14ac:dyDescent="0.25">
      <c r="A511" s="24" t="str">
        <f>IF(AND(OR(ISNUMBER(SEARCH("必填",字段母版!$J$58)),ISNUMBER(SEARCH("必需",字段母版!$J$58))),字段母版!$K$58="",NOT(OR(字段母版!$I$58="上传资料提取",字段母版!$I$58="默认",字段母版!$I$58="派生",字段母版!$I$58="继承",字段母版!$I$58="Omnia自动",字段母版!$I$58="Agent执行",字段母版!$I$58="无需输入"))),字段母版!$A$58,"")</f>
        <v/>
      </c>
      <c r="B511" s="24" t="str">
        <f>IF(A511="","",字段母版!$G$58)</f>
        <v/>
      </c>
      <c r="C511" s="24" t="str">
        <f>IF(A511="","",字段母版!$I$58)</f>
        <v/>
      </c>
      <c r="D511" s="24" t="str">
        <f t="shared" si="11"/>
        <v/>
      </c>
    </row>
    <row r="512" spans="1:4" x14ac:dyDescent="0.25">
      <c r="A512" s="24" t="str">
        <f>IF(AND(OR(ISNUMBER(SEARCH("必填",字段母版!$J$59)),ISNUMBER(SEARCH("必需",字段母版!$J$59))),字段母版!$K$59="",NOT(OR(字段母版!$I$59="上传资料提取",字段母版!$I$59="默认",字段母版!$I$59="派生",字段母版!$I$59="继承",字段母版!$I$59="Omnia自动",字段母版!$I$59="Agent执行",字段母版!$I$59="无需输入"))),字段母版!$A$59,"")</f>
        <v/>
      </c>
      <c r="B512" s="24" t="str">
        <f>IF(A512="","",字段母版!$G$59)</f>
        <v/>
      </c>
      <c r="C512" s="24" t="str">
        <f>IF(A512="","",字段母版!$I$59)</f>
        <v/>
      </c>
      <c r="D512" s="24" t="str">
        <f t="shared" si="11"/>
        <v/>
      </c>
    </row>
    <row r="513" spans="1:4" x14ac:dyDescent="0.25">
      <c r="A513" s="24" t="str">
        <f>IF(AND(OR(ISNUMBER(SEARCH("必填",字段母版!$J$60)),ISNUMBER(SEARCH("必需",字段母版!$J$60))),字段母版!$K$60="",NOT(OR(字段母版!$I$60="上传资料提取",字段母版!$I$60="默认",字段母版!$I$60="派生",字段母版!$I$60="继承",字段母版!$I$60="Omnia自动",字段母版!$I$60="Agent执行",字段母版!$I$60="无需输入"))),字段母版!$A$60,"")</f>
        <v/>
      </c>
      <c r="B513" s="24" t="str">
        <f>IF(A513="","",字段母版!$G$60)</f>
        <v/>
      </c>
      <c r="C513" s="24" t="str">
        <f>IF(A513="","",字段母版!$I$60)</f>
        <v/>
      </c>
      <c r="D513" s="24" t="str">
        <f t="shared" si="11"/>
        <v/>
      </c>
    </row>
    <row r="514" spans="1:4" x14ac:dyDescent="0.25">
      <c r="A514" s="24" t="str">
        <f>IF(AND(OR(ISNUMBER(SEARCH("必填",字段母版!$J$61)),ISNUMBER(SEARCH("必需",字段母版!$J$61))),字段母版!$K$61="",NOT(OR(字段母版!$I$61="上传资料提取",字段母版!$I$61="默认",字段母版!$I$61="派生",字段母版!$I$61="继承",字段母版!$I$61="Omnia自动",字段母版!$I$61="Agent执行",字段母版!$I$61="无需输入"))),字段母版!$A$61,"")</f>
        <v/>
      </c>
      <c r="B514" s="24" t="str">
        <f>IF(A514="","",字段母版!$G$61)</f>
        <v/>
      </c>
      <c r="C514" s="24" t="str">
        <f>IF(A514="","",字段母版!$I$61)</f>
        <v/>
      </c>
      <c r="D514" s="24" t="str">
        <f t="shared" si="11"/>
        <v/>
      </c>
    </row>
    <row r="515" spans="1:4" x14ac:dyDescent="0.25">
      <c r="A515" s="24" t="str">
        <f>IF(AND(OR(ISNUMBER(SEARCH("必填",字段母版!$J$62)),ISNUMBER(SEARCH("必需",字段母版!$J$62))),字段母版!$K$62="",NOT(OR(字段母版!$I$62="上传资料提取",字段母版!$I$62="默认",字段母版!$I$62="派生",字段母版!$I$62="继承",字段母版!$I$62="Omnia自动",字段母版!$I$62="Agent执行",字段母版!$I$62="无需输入"))),字段母版!$A$62,"")</f>
        <v/>
      </c>
      <c r="B515" s="24" t="str">
        <f>IF(A515="","",字段母版!$G$62)</f>
        <v/>
      </c>
      <c r="C515" s="24" t="str">
        <f>IF(A515="","",字段母版!$I$62)</f>
        <v/>
      </c>
      <c r="D515" s="24" t="str">
        <f t="shared" si="11"/>
        <v/>
      </c>
    </row>
    <row r="516" spans="1:4" x14ac:dyDescent="0.25">
      <c r="A516" s="24" t="str">
        <f>IF(AND(OR(ISNUMBER(SEARCH("必填",字段母版!$J$63)),ISNUMBER(SEARCH("必需",字段母版!$J$63))),字段母版!$K$63="",NOT(OR(字段母版!$I$63="上传资料提取",字段母版!$I$63="默认",字段母版!$I$63="派生",字段母版!$I$63="继承",字段母版!$I$63="Omnia自动",字段母版!$I$63="Agent执行",字段母版!$I$63="无需输入"))),字段母版!$A$63,"")</f>
        <v/>
      </c>
      <c r="B516" s="24" t="str">
        <f>IF(A516="","",字段母版!$G$63)</f>
        <v/>
      </c>
      <c r="C516" s="24" t="str">
        <f>IF(A516="","",字段母版!$I$63)</f>
        <v/>
      </c>
      <c r="D516" s="24" t="str">
        <f t="shared" si="11"/>
        <v/>
      </c>
    </row>
    <row r="517" spans="1:4" x14ac:dyDescent="0.25">
      <c r="A517" s="24" t="str">
        <f>IF(AND(OR(ISNUMBER(SEARCH("必填",字段母版!$J$64)),ISNUMBER(SEARCH("必需",字段母版!$J$64))),字段母版!$K$64="",NOT(OR(字段母版!$I$64="上传资料提取",字段母版!$I$64="默认",字段母版!$I$64="派生",字段母版!$I$64="继承",字段母版!$I$64="Omnia自动",字段母版!$I$64="Agent执行",字段母版!$I$64="无需输入"))),字段母版!$A$64,"")</f>
        <v/>
      </c>
      <c r="B517" s="24" t="str">
        <f>IF(A517="","",字段母版!$G$64)</f>
        <v/>
      </c>
      <c r="C517" s="24" t="str">
        <f>IF(A517="","",字段母版!$I$64)</f>
        <v/>
      </c>
      <c r="D517" s="24" t="str">
        <f t="shared" si="11"/>
        <v/>
      </c>
    </row>
    <row r="518" spans="1:4" x14ac:dyDescent="0.25">
      <c r="A518" s="24" t="str">
        <f>IF(AND(OR(ISNUMBER(SEARCH("必填",字段母版!$J$65)),ISNUMBER(SEARCH("必需",字段母版!$J$65))),字段母版!$K$65="",NOT(OR(字段母版!$I$65="上传资料提取",字段母版!$I$65="默认",字段母版!$I$65="派生",字段母版!$I$65="继承",字段母版!$I$65="Omnia自动",字段母版!$I$65="Agent执行",字段母版!$I$65="无需输入"))),字段母版!$A$65,"")</f>
        <v/>
      </c>
      <c r="B518" s="24" t="str">
        <f>IF(A518="","",字段母版!$G$65)</f>
        <v/>
      </c>
      <c r="C518" s="24" t="str">
        <f>IF(A518="","",字段母版!$I$65)</f>
        <v/>
      </c>
      <c r="D518" s="24" t="str">
        <f t="shared" si="11"/>
        <v/>
      </c>
    </row>
    <row r="519" spans="1:4" x14ac:dyDescent="0.25">
      <c r="A519" s="24" t="str">
        <f>IF(AND(OR(ISNUMBER(SEARCH("必填",字段母版!$J$66)),ISNUMBER(SEARCH("必需",字段母版!$J$66))),字段母版!$K$66="",NOT(OR(字段母版!$I$66="上传资料提取",字段母版!$I$66="默认",字段母版!$I$66="派生",字段母版!$I$66="继承",字段母版!$I$66="Omnia自动",字段母版!$I$66="Agent执行",字段母版!$I$66="无需输入"))),字段母版!$A$66,"")</f>
        <v/>
      </c>
      <c r="B519" s="24" t="str">
        <f>IF(A519="","",字段母版!$G$66)</f>
        <v/>
      </c>
      <c r="C519" s="24" t="str">
        <f>IF(A519="","",字段母版!$I$66)</f>
        <v/>
      </c>
      <c r="D519" s="24" t="str">
        <f t="shared" si="11"/>
        <v/>
      </c>
    </row>
    <row r="520" spans="1:4" x14ac:dyDescent="0.25">
      <c r="A520" s="24" t="str">
        <f>IF(AND(OR(ISNUMBER(SEARCH("必填",字段母版!$J$67)),ISNUMBER(SEARCH("必需",字段母版!$J$67))),字段母版!$K$67="",NOT(OR(字段母版!$I$67="上传资料提取",字段母版!$I$67="默认",字段母版!$I$67="派生",字段母版!$I$67="继承",字段母版!$I$67="Omnia自动",字段母版!$I$67="Agent执行",字段母版!$I$67="无需输入"))),字段母版!$A$67,"")</f>
        <v/>
      </c>
      <c r="B520" s="24" t="str">
        <f>IF(A520="","",字段母版!$G$67)</f>
        <v/>
      </c>
      <c r="C520" s="24" t="str">
        <f>IF(A520="","",字段母版!$I$67)</f>
        <v/>
      </c>
      <c r="D520" s="24" t="str">
        <f t="shared" si="11"/>
        <v/>
      </c>
    </row>
    <row r="521" spans="1:4" x14ac:dyDescent="0.25">
      <c r="A521" s="24" t="str">
        <f>IF(AND(OR(ISNUMBER(SEARCH("必填",字段母版!$J$68)),ISNUMBER(SEARCH("必需",字段母版!$J$68))),字段母版!$K$68="",NOT(OR(字段母版!$I$68="上传资料提取",字段母版!$I$68="默认",字段母版!$I$68="派生",字段母版!$I$68="继承",字段母版!$I$68="Omnia自动",字段母版!$I$68="Agent执行",字段母版!$I$68="无需输入"))),字段母版!$A$68,"")</f>
        <v/>
      </c>
      <c r="B521" s="24" t="str">
        <f>IF(A521="","",字段母版!$G$68)</f>
        <v/>
      </c>
      <c r="C521" s="24" t="str">
        <f>IF(A521="","",字段母版!$I$68)</f>
        <v/>
      </c>
      <c r="D521" s="24" t="str">
        <f t="shared" si="11"/>
        <v/>
      </c>
    </row>
    <row r="522" spans="1:4" x14ac:dyDescent="0.25">
      <c r="A522" s="24" t="str">
        <f>IF(AND(OR(ISNUMBER(SEARCH("必填",字段母版!$J$69)),ISNUMBER(SEARCH("必需",字段母版!$J$69))),字段母版!$K$69="",NOT(OR(字段母版!$I$69="上传资料提取",字段母版!$I$69="默认",字段母版!$I$69="派生",字段母版!$I$69="继承",字段母版!$I$69="Omnia自动",字段母版!$I$69="Agent执行",字段母版!$I$69="无需输入"))),字段母版!$A$69,"")</f>
        <v/>
      </c>
      <c r="B522" s="24" t="str">
        <f>IF(A522="","",字段母版!$G$69)</f>
        <v/>
      </c>
      <c r="C522" s="24" t="str">
        <f>IF(A522="","",字段母版!$I$69)</f>
        <v/>
      </c>
      <c r="D522" s="24" t="str">
        <f t="shared" ref="D522:D553" si="12">IF(A522="","","必填策略既无默认/回退也无明确上传/派生/继承/自动来源")</f>
        <v/>
      </c>
    </row>
    <row r="523" spans="1:4" x14ac:dyDescent="0.25">
      <c r="A523" s="24" t="str">
        <f>IF(AND(OR(ISNUMBER(SEARCH("必填",字段母版!$J$70)),ISNUMBER(SEARCH("必需",字段母版!$J$70))),字段母版!$K$70="",NOT(OR(字段母版!$I$70="上传资料提取",字段母版!$I$70="默认",字段母版!$I$70="派生",字段母版!$I$70="继承",字段母版!$I$70="Omnia自动",字段母版!$I$70="Agent执行",字段母版!$I$70="无需输入"))),字段母版!$A$70,"")</f>
        <v/>
      </c>
      <c r="B523" s="24" t="str">
        <f>IF(A523="","",字段母版!$G$70)</f>
        <v/>
      </c>
      <c r="C523" s="24" t="str">
        <f>IF(A523="","",字段母版!$I$70)</f>
        <v/>
      </c>
      <c r="D523" s="24" t="str">
        <f t="shared" si="12"/>
        <v/>
      </c>
    </row>
    <row r="524" spans="1:4" x14ac:dyDescent="0.25">
      <c r="A524" s="24" t="str">
        <f>IF(AND(OR(ISNUMBER(SEARCH("必填",字段母版!$J$71)),ISNUMBER(SEARCH("必需",字段母版!$J$71))),字段母版!$K$71="",NOT(OR(字段母版!$I$71="上传资料提取",字段母版!$I$71="默认",字段母版!$I$71="派生",字段母版!$I$71="继承",字段母版!$I$71="Omnia自动",字段母版!$I$71="Agent执行",字段母版!$I$71="无需输入"))),字段母版!$A$71,"")</f>
        <v/>
      </c>
      <c r="B524" s="24" t="str">
        <f>IF(A524="","",字段母版!$G$71)</f>
        <v/>
      </c>
      <c r="C524" s="24" t="str">
        <f>IF(A524="","",字段母版!$I$71)</f>
        <v/>
      </c>
      <c r="D524" s="24" t="str">
        <f t="shared" si="12"/>
        <v/>
      </c>
    </row>
    <row r="525" spans="1:4" x14ac:dyDescent="0.25">
      <c r="A525" s="24" t="str">
        <f>IF(AND(OR(ISNUMBER(SEARCH("必填",字段母版!$J$72)),ISNUMBER(SEARCH("必需",字段母版!$J$72))),字段母版!$K$72="",NOT(OR(字段母版!$I$72="上传资料提取",字段母版!$I$72="默认",字段母版!$I$72="派生",字段母版!$I$72="继承",字段母版!$I$72="Omnia自动",字段母版!$I$72="Agent执行",字段母版!$I$72="无需输入"))),字段母版!$A$72,"")</f>
        <v/>
      </c>
      <c r="B525" s="24" t="str">
        <f>IF(A525="","",字段母版!$G$72)</f>
        <v/>
      </c>
      <c r="C525" s="24" t="str">
        <f>IF(A525="","",字段母版!$I$72)</f>
        <v/>
      </c>
      <c r="D525" s="24" t="str">
        <f t="shared" si="12"/>
        <v/>
      </c>
    </row>
    <row r="526" spans="1:4" x14ac:dyDescent="0.25">
      <c r="A526" s="24" t="str">
        <f>IF(AND(OR(ISNUMBER(SEARCH("必填",字段母版!$J$73)),ISNUMBER(SEARCH("必需",字段母版!$J$73))),字段母版!$K$73="",NOT(OR(字段母版!$I$73="上传资料提取",字段母版!$I$73="默认",字段母版!$I$73="派生",字段母版!$I$73="继承",字段母版!$I$73="Omnia自动",字段母版!$I$73="Agent执行",字段母版!$I$73="无需输入"))),字段母版!$A$73,"")</f>
        <v/>
      </c>
      <c r="B526" s="24" t="str">
        <f>IF(A526="","",字段母版!$G$73)</f>
        <v/>
      </c>
      <c r="C526" s="24" t="str">
        <f>IF(A526="","",字段母版!$I$73)</f>
        <v/>
      </c>
      <c r="D526" s="24" t="str">
        <f t="shared" si="12"/>
        <v/>
      </c>
    </row>
    <row r="527" spans="1:4" x14ac:dyDescent="0.25">
      <c r="A527" s="24" t="str">
        <f>IF(AND(OR(ISNUMBER(SEARCH("必填",字段母版!$J$74)),ISNUMBER(SEARCH("必需",字段母版!$J$74))),字段母版!$K$74="",NOT(OR(字段母版!$I$74="上传资料提取",字段母版!$I$74="默认",字段母版!$I$74="派生",字段母版!$I$74="继承",字段母版!$I$74="Omnia自动",字段母版!$I$74="Agent执行",字段母版!$I$74="无需输入"))),字段母版!$A$74,"")</f>
        <v/>
      </c>
      <c r="B527" s="24" t="str">
        <f>IF(A527="","",字段母版!$G$74)</f>
        <v/>
      </c>
      <c r="C527" s="24" t="str">
        <f>IF(A527="","",字段母版!$I$74)</f>
        <v/>
      </c>
      <c r="D527" s="24" t="str">
        <f t="shared" si="12"/>
        <v/>
      </c>
    </row>
    <row r="528" spans="1:4" x14ac:dyDescent="0.25">
      <c r="A528" s="24" t="str">
        <f>IF(AND(OR(ISNUMBER(SEARCH("必填",字段母版!$J$75)),ISNUMBER(SEARCH("必需",字段母版!$J$75))),字段母版!$K$75="",NOT(OR(字段母版!$I$75="上传资料提取",字段母版!$I$75="默认",字段母版!$I$75="派生",字段母版!$I$75="继承",字段母版!$I$75="Omnia自动",字段母版!$I$75="Agent执行",字段母版!$I$75="无需输入"))),字段母版!$A$75,"")</f>
        <v/>
      </c>
      <c r="B528" s="24" t="str">
        <f>IF(A528="","",字段母版!$G$75)</f>
        <v/>
      </c>
      <c r="C528" s="24" t="str">
        <f>IF(A528="","",字段母版!$I$75)</f>
        <v/>
      </c>
      <c r="D528" s="24" t="str">
        <f t="shared" si="12"/>
        <v/>
      </c>
    </row>
    <row r="529" spans="1:4" x14ac:dyDescent="0.25">
      <c r="A529" s="24" t="str">
        <f>IF(AND(OR(ISNUMBER(SEARCH("必填",字段母版!$J$76)),ISNUMBER(SEARCH("必需",字段母版!$J$76))),字段母版!$K$76="",NOT(OR(字段母版!$I$76="上传资料提取",字段母版!$I$76="默认",字段母版!$I$76="派生",字段母版!$I$76="继承",字段母版!$I$76="Omnia自动",字段母版!$I$76="Agent执行",字段母版!$I$76="无需输入"))),字段母版!$A$76,"")</f>
        <v/>
      </c>
      <c r="B529" s="24" t="str">
        <f>IF(A529="","",字段母版!$G$76)</f>
        <v/>
      </c>
      <c r="C529" s="24" t="str">
        <f>IF(A529="","",字段母版!$I$76)</f>
        <v/>
      </c>
      <c r="D529" s="24" t="str">
        <f t="shared" si="12"/>
        <v/>
      </c>
    </row>
    <row r="530" spans="1:4" x14ac:dyDescent="0.25">
      <c r="A530" s="24" t="str">
        <f>IF(AND(OR(ISNUMBER(SEARCH("必填",字段母版!$J$77)),ISNUMBER(SEARCH("必需",字段母版!$J$77))),字段母版!$K$77="",NOT(OR(字段母版!$I$77="上传资料提取",字段母版!$I$77="默认",字段母版!$I$77="派生",字段母版!$I$77="继承",字段母版!$I$77="Omnia自动",字段母版!$I$77="Agent执行",字段母版!$I$77="无需输入"))),字段母版!$A$77,"")</f>
        <v/>
      </c>
      <c r="B530" s="24" t="str">
        <f>IF(A530="","",字段母版!$G$77)</f>
        <v/>
      </c>
      <c r="C530" s="24" t="str">
        <f>IF(A530="","",字段母版!$I$77)</f>
        <v/>
      </c>
      <c r="D530" s="24" t="str">
        <f t="shared" si="12"/>
        <v/>
      </c>
    </row>
    <row r="531" spans="1:4" x14ac:dyDescent="0.25">
      <c r="A531" s="24" t="str">
        <f>IF(AND(OR(ISNUMBER(SEARCH("必填",字段母版!$J$78)),ISNUMBER(SEARCH("必需",字段母版!$J$78))),字段母版!$K$78="",NOT(OR(字段母版!$I$78="上传资料提取",字段母版!$I$78="默认",字段母版!$I$78="派生",字段母版!$I$78="继承",字段母版!$I$78="Omnia自动",字段母版!$I$78="Agent执行",字段母版!$I$78="无需输入"))),字段母版!$A$78,"")</f>
        <v/>
      </c>
      <c r="B531" s="24" t="str">
        <f>IF(A531="","",字段母版!$G$78)</f>
        <v/>
      </c>
      <c r="C531" s="24" t="str">
        <f>IF(A531="","",字段母版!$I$78)</f>
        <v/>
      </c>
      <c r="D531" s="24" t="str">
        <f t="shared" si="12"/>
        <v/>
      </c>
    </row>
    <row r="532" spans="1:4" x14ac:dyDescent="0.25">
      <c r="A532" s="24" t="str">
        <f>IF(AND(OR(ISNUMBER(SEARCH("必填",字段母版!$J$79)),ISNUMBER(SEARCH("必需",字段母版!$J$79))),字段母版!$K$79="",NOT(OR(字段母版!$I$79="上传资料提取",字段母版!$I$79="默认",字段母版!$I$79="派生",字段母版!$I$79="继承",字段母版!$I$79="Omnia自动",字段母版!$I$79="Agent执行",字段母版!$I$79="无需输入"))),字段母版!$A$79,"")</f>
        <v/>
      </c>
      <c r="B532" s="24" t="str">
        <f>IF(A532="","",字段母版!$G$79)</f>
        <v/>
      </c>
      <c r="C532" s="24" t="str">
        <f>IF(A532="","",字段母版!$I$79)</f>
        <v/>
      </c>
      <c r="D532" s="24" t="str">
        <f t="shared" si="12"/>
        <v/>
      </c>
    </row>
    <row r="533" spans="1:4" x14ac:dyDescent="0.25">
      <c r="A533" s="24" t="str">
        <f>IF(AND(OR(ISNUMBER(SEARCH("必填",字段母版!$J$80)),ISNUMBER(SEARCH("必需",字段母版!$J$80))),字段母版!$K$80="",NOT(OR(字段母版!$I$80="上传资料提取",字段母版!$I$80="默认",字段母版!$I$80="派生",字段母版!$I$80="继承",字段母版!$I$80="Omnia自动",字段母版!$I$80="Agent执行",字段母版!$I$80="无需输入"))),字段母版!$A$80,"")</f>
        <v/>
      </c>
      <c r="B533" s="24" t="str">
        <f>IF(A533="","",字段母版!$G$80)</f>
        <v/>
      </c>
      <c r="C533" s="24" t="str">
        <f>IF(A533="","",字段母版!$I$80)</f>
        <v/>
      </c>
      <c r="D533" s="24" t="str">
        <f t="shared" si="12"/>
        <v/>
      </c>
    </row>
    <row r="534" spans="1:4" x14ac:dyDescent="0.25">
      <c r="A534" s="24" t="str">
        <f>IF(AND(OR(ISNUMBER(SEARCH("必填",字段母版!$J$81)),ISNUMBER(SEARCH("必需",字段母版!$J$81))),字段母版!$K$81="",NOT(OR(字段母版!$I$81="上传资料提取",字段母版!$I$81="默认",字段母版!$I$81="派生",字段母版!$I$81="继承",字段母版!$I$81="Omnia自动",字段母版!$I$81="Agent执行",字段母版!$I$81="无需输入"))),字段母版!$A$81,"")</f>
        <v/>
      </c>
      <c r="B534" s="24" t="str">
        <f>IF(A534="","",字段母版!$G$81)</f>
        <v/>
      </c>
      <c r="C534" s="24" t="str">
        <f>IF(A534="","",字段母版!$I$81)</f>
        <v/>
      </c>
      <c r="D534" s="24" t="str">
        <f t="shared" si="12"/>
        <v/>
      </c>
    </row>
    <row r="535" spans="1:4" x14ac:dyDescent="0.25">
      <c r="A535" s="24" t="str">
        <f>IF(AND(OR(ISNUMBER(SEARCH("必填",字段母版!$J$82)),ISNUMBER(SEARCH("必需",字段母版!$J$82))),字段母版!$K$82="",NOT(OR(字段母版!$I$82="上传资料提取",字段母版!$I$82="默认",字段母版!$I$82="派生",字段母版!$I$82="继承",字段母版!$I$82="Omnia自动",字段母版!$I$82="Agent执行",字段母版!$I$82="无需输入"))),字段母版!$A$82,"")</f>
        <v/>
      </c>
      <c r="B535" s="24" t="str">
        <f>IF(A535="","",字段母版!$G$82)</f>
        <v/>
      </c>
      <c r="C535" s="24" t="str">
        <f>IF(A535="","",字段母版!$I$82)</f>
        <v/>
      </c>
      <c r="D535" s="24" t="str">
        <f t="shared" si="12"/>
        <v/>
      </c>
    </row>
    <row r="536" spans="1:4" x14ac:dyDescent="0.25">
      <c r="A536" s="24" t="str">
        <f>IF(AND(OR(ISNUMBER(SEARCH("必填",字段母版!$J$83)),ISNUMBER(SEARCH("必需",字段母版!$J$83))),字段母版!$K$83="",NOT(OR(字段母版!$I$83="上传资料提取",字段母版!$I$83="默认",字段母版!$I$83="派生",字段母版!$I$83="继承",字段母版!$I$83="Omnia自动",字段母版!$I$83="Agent执行",字段母版!$I$83="无需输入"))),字段母版!$A$83,"")</f>
        <v/>
      </c>
      <c r="B536" s="24" t="str">
        <f>IF(A536="","",字段母版!$G$83)</f>
        <v/>
      </c>
      <c r="C536" s="24" t="str">
        <f>IF(A536="","",字段母版!$I$83)</f>
        <v/>
      </c>
      <c r="D536" s="24" t="str">
        <f t="shared" si="12"/>
        <v/>
      </c>
    </row>
    <row r="537" spans="1:4" x14ac:dyDescent="0.25">
      <c r="A537" s="24" t="str">
        <f>IF(AND(OR(ISNUMBER(SEARCH("必填",字段母版!$J$84)),ISNUMBER(SEARCH("必需",字段母版!$J$84))),字段母版!$K$84="",NOT(OR(字段母版!$I$84="上传资料提取",字段母版!$I$84="默认",字段母版!$I$84="派生",字段母版!$I$84="继承",字段母版!$I$84="Omnia自动",字段母版!$I$84="Agent执行",字段母版!$I$84="无需输入"))),字段母版!$A$84,"")</f>
        <v/>
      </c>
      <c r="B537" s="24" t="str">
        <f>IF(A537="","",字段母版!$G$84)</f>
        <v/>
      </c>
      <c r="C537" s="24" t="str">
        <f>IF(A537="","",字段母版!$I$84)</f>
        <v/>
      </c>
      <c r="D537" s="24" t="str">
        <f t="shared" si="12"/>
        <v/>
      </c>
    </row>
    <row r="538" spans="1:4" x14ac:dyDescent="0.25">
      <c r="A538" s="24" t="str">
        <f>IF(AND(OR(ISNUMBER(SEARCH("必填",字段母版!$J$85)),ISNUMBER(SEARCH("必需",字段母版!$J$85))),字段母版!$K$85="",NOT(OR(字段母版!$I$85="上传资料提取",字段母版!$I$85="默认",字段母版!$I$85="派生",字段母版!$I$85="继承",字段母版!$I$85="Omnia自动",字段母版!$I$85="Agent执行",字段母版!$I$85="无需输入"))),字段母版!$A$85,"")</f>
        <v/>
      </c>
      <c r="B538" s="24" t="str">
        <f>IF(A538="","",字段母版!$G$85)</f>
        <v/>
      </c>
      <c r="C538" s="24" t="str">
        <f>IF(A538="","",字段母版!$I$85)</f>
        <v/>
      </c>
      <c r="D538" s="24" t="str">
        <f t="shared" si="12"/>
        <v/>
      </c>
    </row>
    <row r="539" spans="1:4" x14ac:dyDescent="0.25">
      <c r="A539" s="24" t="str">
        <f>IF(AND(OR(ISNUMBER(SEARCH("必填",字段母版!$J$86)),ISNUMBER(SEARCH("必需",字段母版!$J$86))),字段母版!$K$86="",NOT(OR(字段母版!$I$86="上传资料提取",字段母版!$I$86="默认",字段母版!$I$86="派生",字段母版!$I$86="继承",字段母版!$I$86="Omnia自动",字段母版!$I$86="Agent执行",字段母版!$I$86="无需输入"))),字段母版!$A$86,"")</f>
        <v/>
      </c>
      <c r="B539" s="24" t="str">
        <f>IF(A539="","",字段母版!$G$86)</f>
        <v/>
      </c>
      <c r="C539" s="24" t="str">
        <f>IF(A539="","",字段母版!$I$86)</f>
        <v/>
      </c>
      <c r="D539" s="24" t="str">
        <f t="shared" si="12"/>
        <v/>
      </c>
    </row>
    <row r="540" spans="1:4" x14ac:dyDescent="0.25">
      <c r="A540" s="24" t="str">
        <f>IF(AND(OR(ISNUMBER(SEARCH("必填",字段母版!$J$87)),ISNUMBER(SEARCH("必需",字段母版!$J$87))),字段母版!$K$87="",NOT(OR(字段母版!$I$87="上传资料提取",字段母版!$I$87="默认",字段母版!$I$87="派生",字段母版!$I$87="继承",字段母版!$I$87="Omnia自动",字段母版!$I$87="Agent执行",字段母版!$I$87="无需输入"))),字段母版!$A$87,"")</f>
        <v/>
      </c>
      <c r="B540" s="24" t="str">
        <f>IF(A540="","",字段母版!$G$87)</f>
        <v/>
      </c>
      <c r="C540" s="24" t="str">
        <f>IF(A540="","",字段母版!$I$87)</f>
        <v/>
      </c>
      <c r="D540" s="24" t="str">
        <f t="shared" si="12"/>
        <v/>
      </c>
    </row>
    <row r="541" spans="1:4" x14ac:dyDescent="0.25">
      <c r="A541" s="24" t="str">
        <f>IF(AND(OR(ISNUMBER(SEARCH("必填",字段母版!$J$88)),ISNUMBER(SEARCH("必需",字段母版!$J$88))),字段母版!$K$88="",NOT(OR(字段母版!$I$88="上传资料提取",字段母版!$I$88="默认",字段母版!$I$88="派生",字段母版!$I$88="继承",字段母版!$I$88="Omnia自动",字段母版!$I$88="Agent执行",字段母版!$I$88="无需输入"))),字段母版!$A$88,"")</f>
        <v/>
      </c>
      <c r="B541" s="24" t="str">
        <f>IF(A541="","",字段母版!$G$88)</f>
        <v/>
      </c>
      <c r="C541" s="24" t="str">
        <f>IF(A541="","",字段母版!$I$88)</f>
        <v/>
      </c>
      <c r="D541" s="24" t="str">
        <f t="shared" si="12"/>
        <v/>
      </c>
    </row>
    <row r="542" spans="1:4" x14ac:dyDescent="0.25">
      <c r="A542" s="24" t="str">
        <f>IF(AND(OR(ISNUMBER(SEARCH("必填",字段母版!$J$89)),ISNUMBER(SEARCH("必需",字段母版!$J$89))),字段母版!$K$89="",NOT(OR(字段母版!$I$89="上传资料提取",字段母版!$I$89="默认",字段母版!$I$89="派生",字段母版!$I$89="继承",字段母版!$I$89="Omnia自动",字段母版!$I$89="Agent执行",字段母版!$I$89="无需输入"))),字段母版!$A$89,"")</f>
        <v/>
      </c>
      <c r="B542" s="24" t="str">
        <f>IF(A542="","",字段母版!$G$89)</f>
        <v/>
      </c>
      <c r="C542" s="24" t="str">
        <f>IF(A542="","",字段母版!$I$89)</f>
        <v/>
      </c>
      <c r="D542" s="24" t="str">
        <f t="shared" si="12"/>
        <v/>
      </c>
    </row>
    <row r="543" spans="1:4" x14ac:dyDescent="0.25">
      <c r="A543" s="24" t="str">
        <f>IF(AND(OR(ISNUMBER(SEARCH("必填",字段母版!$J$90)),ISNUMBER(SEARCH("必需",字段母版!$J$90))),字段母版!$K$90="",NOT(OR(字段母版!$I$90="上传资料提取",字段母版!$I$90="默认",字段母版!$I$90="派生",字段母版!$I$90="继承",字段母版!$I$90="Omnia自动",字段母版!$I$90="Agent执行",字段母版!$I$90="无需输入"))),字段母版!$A$90,"")</f>
        <v/>
      </c>
      <c r="B543" s="24" t="str">
        <f>IF(A543="","",字段母版!$G$90)</f>
        <v/>
      </c>
      <c r="C543" s="24" t="str">
        <f>IF(A543="","",字段母版!$I$90)</f>
        <v/>
      </c>
      <c r="D543" s="24" t="str">
        <f t="shared" si="12"/>
        <v/>
      </c>
    </row>
    <row r="544" spans="1:4" x14ac:dyDescent="0.25">
      <c r="A544" s="24" t="str">
        <f>IF(AND(OR(ISNUMBER(SEARCH("必填",字段母版!$J$91)),ISNUMBER(SEARCH("必需",字段母版!$J$91))),字段母版!$K$91="",NOT(OR(字段母版!$I$91="上传资料提取",字段母版!$I$91="默认",字段母版!$I$91="派生",字段母版!$I$91="继承",字段母版!$I$91="Omnia自动",字段母版!$I$91="Agent执行",字段母版!$I$91="无需输入"))),字段母版!$A$91,"")</f>
        <v/>
      </c>
      <c r="B544" s="24" t="str">
        <f>IF(A544="","",字段母版!$G$91)</f>
        <v/>
      </c>
      <c r="C544" s="24" t="str">
        <f>IF(A544="","",字段母版!$I$91)</f>
        <v/>
      </c>
      <c r="D544" s="24" t="str">
        <f t="shared" si="12"/>
        <v/>
      </c>
    </row>
    <row r="545" spans="1:4" x14ac:dyDescent="0.25">
      <c r="A545" s="24" t="str">
        <f>IF(AND(OR(ISNUMBER(SEARCH("必填",字段母版!$J$92)),ISNUMBER(SEARCH("必需",字段母版!$J$92))),字段母版!$K$92="",NOT(OR(字段母版!$I$92="上传资料提取",字段母版!$I$92="默认",字段母版!$I$92="派生",字段母版!$I$92="继承",字段母版!$I$92="Omnia自动",字段母版!$I$92="Agent执行",字段母版!$I$92="无需输入"))),字段母版!$A$92,"")</f>
        <v/>
      </c>
      <c r="B545" s="24" t="str">
        <f>IF(A545="","",字段母版!$G$92)</f>
        <v/>
      </c>
      <c r="C545" s="24" t="str">
        <f>IF(A545="","",字段母版!$I$92)</f>
        <v/>
      </c>
      <c r="D545" s="24" t="str">
        <f t="shared" si="12"/>
        <v/>
      </c>
    </row>
    <row r="546" spans="1:4" x14ac:dyDescent="0.25">
      <c r="A546" s="24" t="str">
        <f>IF(AND(OR(ISNUMBER(SEARCH("必填",字段母版!$J$93)),ISNUMBER(SEARCH("必需",字段母版!$J$93))),字段母版!$K$93="",NOT(OR(字段母版!$I$93="上传资料提取",字段母版!$I$93="默认",字段母版!$I$93="派生",字段母版!$I$93="继承",字段母版!$I$93="Omnia自动",字段母版!$I$93="Agent执行",字段母版!$I$93="无需输入"))),字段母版!$A$93,"")</f>
        <v/>
      </c>
      <c r="B546" s="24" t="str">
        <f>IF(A546="","",字段母版!$G$93)</f>
        <v/>
      </c>
      <c r="C546" s="24" t="str">
        <f>IF(A546="","",字段母版!$I$93)</f>
        <v/>
      </c>
      <c r="D546" s="24" t="str">
        <f t="shared" si="12"/>
        <v/>
      </c>
    </row>
    <row r="547" spans="1:4" x14ac:dyDescent="0.25">
      <c r="A547" s="24" t="str">
        <f>IF(AND(OR(ISNUMBER(SEARCH("必填",字段母版!$J$94)),ISNUMBER(SEARCH("必需",字段母版!$J$94))),字段母版!$K$94="",NOT(OR(字段母版!$I$94="上传资料提取",字段母版!$I$94="默认",字段母版!$I$94="派生",字段母版!$I$94="继承",字段母版!$I$94="Omnia自动",字段母版!$I$94="Agent执行",字段母版!$I$94="无需输入"))),字段母版!$A$94,"")</f>
        <v/>
      </c>
      <c r="B547" s="24" t="str">
        <f>IF(A547="","",字段母版!$G$94)</f>
        <v/>
      </c>
      <c r="C547" s="24" t="str">
        <f>IF(A547="","",字段母版!$I$94)</f>
        <v/>
      </c>
      <c r="D547" s="24" t="str">
        <f t="shared" si="12"/>
        <v/>
      </c>
    </row>
    <row r="548" spans="1:4" x14ac:dyDescent="0.25">
      <c r="A548" s="24" t="str">
        <f>IF(AND(OR(ISNUMBER(SEARCH("必填",字段母版!$J$95)),ISNUMBER(SEARCH("必需",字段母版!$J$95))),字段母版!$K$95="",NOT(OR(字段母版!$I$95="上传资料提取",字段母版!$I$95="默认",字段母版!$I$95="派生",字段母版!$I$95="继承",字段母版!$I$95="Omnia自动",字段母版!$I$95="Agent执行",字段母版!$I$95="无需输入"))),字段母版!$A$95,"")</f>
        <v/>
      </c>
      <c r="B548" s="24" t="str">
        <f>IF(A548="","",字段母版!$G$95)</f>
        <v/>
      </c>
      <c r="C548" s="24" t="str">
        <f>IF(A548="","",字段母版!$I$95)</f>
        <v/>
      </c>
      <c r="D548" s="24" t="str">
        <f t="shared" si="12"/>
        <v/>
      </c>
    </row>
    <row r="549" spans="1:4" x14ac:dyDescent="0.25">
      <c r="A549" s="24" t="str">
        <f>IF(AND(OR(ISNUMBER(SEARCH("必填",字段母版!$J$96)),ISNUMBER(SEARCH("必需",字段母版!$J$96))),字段母版!$K$96="",NOT(OR(字段母版!$I$96="上传资料提取",字段母版!$I$96="默认",字段母版!$I$96="派生",字段母版!$I$96="继承",字段母版!$I$96="Omnia自动",字段母版!$I$96="Agent执行",字段母版!$I$96="无需输入"))),字段母版!$A$96,"")</f>
        <v/>
      </c>
      <c r="B549" s="24" t="str">
        <f>IF(A549="","",字段母版!$G$96)</f>
        <v/>
      </c>
      <c r="C549" s="24" t="str">
        <f>IF(A549="","",字段母版!$I$96)</f>
        <v/>
      </c>
      <c r="D549" s="24" t="str">
        <f t="shared" si="12"/>
        <v/>
      </c>
    </row>
    <row r="550" spans="1:4" x14ac:dyDescent="0.25">
      <c r="A550" s="24" t="str">
        <f>IF(AND(OR(ISNUMBER(SEARCH("必填",字段母版!$J$97)),ISNUMBER(SEARCH("必需",字段母版!$J$97))),字段母版!$K$97="",NOT(OR(字段母版!$I$97="上传资料提取",字段母版!$I$97="默认",字段母版!$I$97="派生",字段母版!$I$97="继承",字段母版!$I$97="Omnia自动",字段母版!$I$97="Agent执行",字段母版!$I$97="无需输入"))),字段母版!$A$97,"")</f>
        <v/>
      </c>
      <c r="B550" s="24" t="str">
        <f>IF(A550="","",字段母版!$G$97)</f>
        <v/>
      </c>
      <c r="C550" s="24" t="str">
        <f>IF(A550="","",字段母版!$I$97)</f>
        <v/>
      </c>
      <c r="D550" s="24" t="str">
        <f t="shared" si="12"/>
        <v/>
      </c>
    </row>
    <row r="551" spans="1:4" x14ac:dyDescent="0.25">
      <c r="A551" s="24" t="str">
        <f>IF(AND(OR(ISNUMBER(SEARCH("必填",字段母版!$J$98)),ISNUMBER(SEARCH("必需",字段母版!$J$98))),字段母版!$K$98="",NOT(OR(字段母版!$I$98="上传资料提取",字段母版!$I$98="默认",字段母版!$I$98="派生",字段母版!$I$98="继承",字段母版!$I$98="Omnia自动",字段母版!$I$98="Agent执行",字段母版!$I$98="无需输入"))),字段母版!$A$98,"")</f>
        <v/>
      </c>
      <c r="B551" s="24" t="str">
        <f>IF(A551="","",字段母版!$G$98)</f>
        <v/>
      </c>
      <c r="C551" s="24" t="str">
        <f>IF(A551="","",字段母版!$I$98)</f>
        <v/>
      </c>
      <c r="D551" s="24" t="str">
        <f t="shared" si="12"/>
        <v/>
      </c>
    </row>
    <row r="552" spans="1:4" x14ac:dyDescent="0.25">
      <c r="A552" s="24" t="str">
        <f>IF(AND(OR(ISNUMBER(SEARCH("必填",字段母版!$J$99)),ISNUMBER(SEARCH("必需",字段母版!$J$99))),字段母版!$K$99="",NOT(OR(字段母版!$I$99="上传资料提取",字段母版!$I$99="默认",字段母版!$I$99="派生",字段母版!$I$99="继承",字段母版!$I$99="Omnia自动",字段母版!$I$99="Agent执行",字段母版!$I$99="无需输入"))),字段母版!$A$99,"")</f>
        <v/>
      </c>
      <c r="B552" s="24" t="str">
        <f>IF(A552="","",字段母版!$G$99)</f>
        <v/>
      </c>
      <c r="C552" s="24" t="str">
        <f>IF(A552="","",字段母版!$I$99)</f>
        <v/>
      </c>
      <c r="D552" s="24" t="str">
        <f t="shared" si="12"/>
        <v/>
      </c>
    </row>
    <row r="553" spans="1:4" x14ac:dyDescent="0.25">
      <c r="A553" s="24" t="str">
        <f>IF(AND(OR(ISNUMBER(SEARCH("必填",字段母版!$J$100)),ISNUMBER(SEARCH("必需",字段母版!$J$100))),字段母版!$K$100="",NOT(OR(字段母版!$I$100="上传资料提取",字段母版!$I$100="默认",字段母版!$I$100="派生",字段母版!$I$100="继承",字段母版!$I$100="Omnia自动",字段母版!$I$100="Agent执行",字段母版!$I$100="无需输入"))),字段母版!$A$100,"")</f>
        <v/>
      </c>
      <c r="B553" s="24" t="str">
        <f>IF(A553="","",字段母版!$G$100)</f>
        <v/>
      </c>
      <c r="C553" s="24" t="str">
        <f>IF(A553="","",字段母版!$I$100)</f>
        <v/>
      </c>
      <c r="D553" s="24" t="str">
        <f t="shared" si="12"/>
        <v/>
      </c>
    </row>
    <row r="554" spans="1:4" x14ac:dyDescent="0.25">
      <c r="A554" s="24" t="str">
        <f>IF(AND(OR(ISNUMBER(SEARCH("必填",字段母版!$J$101)),ISNUMBER(SEARCH("必需",字段母版!$J$101))),字段母版!$K$101="",NOT(OR(字段母版!$I$101="上传资料提取",字段母版!$I$101="默认",字段母版!$I$101="派生",字段母版!$I$101="继承",字段母版!$I$101="Omnia自动",字段母版!$I$101="Agent执行",字段母版!$I$101="无需输入"))),字段母版!$A$101,"")</f>
        <v/>
      </c>
      <c r="B554" s="24" t="str">
        <f>IF(A554="","",字段母版!$G$101)</f>
        <v/>
      </c>
      <c r="C554" s="24" t="str">
        <f>IF(A554="","",字段母版!$I$101)</f>
        <v/>
      </c>
      <c r="D554" s="24" t="str">
        <f t="shared" ref="D554:D585" si="13">IF(A554="","","必填策略既无默认/回退也无明确上传/派生/继承/自动来源")</f>
        <v/>
      </c>
    </row>
    <row r="555" spans="1:4" x14ac:dyDescent="0.25">
      <c r="A555" s="24" t="str">
        <f>IF(AND(OR(ISNUMBER(SEARCH("必填",字段母版!$J$102)),ISNUMBER(SEARCH("必需",字段母版!$J$102))),字段母版!$K$102="",NOT(OR(字段母版!$I$102="上传资料提取",字段母版!$I$102="默认",字段母版!$I$102="派生",字段母版!$I$102="继承",字段母版!$I$102="Omnia自动",字段母版!$I$102="Agent执行",字段母版!$I$102="无需输入"))),字段母版!$A$102,"")</f>
        <v/>
      </c>
      <c r="B555" s="24" t="str">
        <f>IF(A555="","",字段母版!$G$102)</f>
        <v/>
      </c>
      <c r="C555" s="24" t="str">
        <f>IF(A555="","",字段母版!$I$102)</f>
        <v/>
      </c>
      <c r="D555" s="24" t="str">
        <f t="shared" si="13"/>
        <v/>
      </c>
    </row>
    <row r="556" spans="1:4" x14ac:dyDescent="0.25">
      <c r="A556" s="24" t="str">
        <f>IF(AND(OR(ISNUMBER(SEARCH("必填",字段母版!$J$103)),ISNUMBER(SEARCH("必需",字段母版!$J$103))),字段母版!$K$103="",NOT(OR(字段母版!$I$103="上传资料提取",字段母版!$I$103="默认",字段母版!$I$103="派生",字段母版!$I$103="继承",字段母版!$I$103="Omnia自动",字段母版!$I$103="Agent执行",字段母版!$I$103="无需输入"))),字段母版!$A$103,"")</f>
        <v/>
      </c>
      <c r="B556" s="24" t="str">
        <f>IF(A556="","",字段母版!$G$103)</f>
        <v/>
      </c>
      <c r="C556" s="24" t="str">
        <f>IF(A556="","",字段母版!$I$103)</f>
        <v/>
      </c>
      <c r="D556" s="24" t="str">
        <f t="shared" si="13"/>
        <v/>
      </c>
    </row>
    <row r="557" spans="1:4" x14ac:dyDescent="0.25">
      <c r="A557" s="24" t="str">
        <f>IF(AND(OR(ISNUMBER(SEARCH("必填",字段母版!$J$104)),ISNUMBER(SEARCH("必需",字段母版!$J$104))),字段母版!$K$104="",NOT(OR(字段母版!$I$104="上传资料提取",字段母版!$I$104="默认",字段母版!$I$104="派生",字段母版!$I$104="继承",字段母版!$I$104="Omnia自动",字段母版!$I$104="Agent执行",字段母版!$I$104="无需输入"))),字段母版!$A$104,"")</f>
        <v/>
      </c>
      <c r="B557" s="24" t="str">
        <f>IF(A557="","",字段母版!$G$104)</f>
        <v/>
      </c>
      <c r="C557" s="24" t="str">
        <f>IF(A557="","",字段母版!$I$104)</f>
        <v/>
      </c>
      <c r="D557" s="24" t="str">
        <f t="shared" si="13"/>
        <v/>
      </c>
    </row>
    <row r="558" spans="1:4" x14ac:dyDescent="0.25">
      <c r="A558" s="24" t="str">
        <f>IF(AND(OR(ISNUMBER(SEARCH("必填",字段母版!$J$105)),ISNUMBER(SEARCH("必需",字段母版!$J$105))),字段母版!$K$105="",NOT(OR(字段母版!$I$105="上传资料提取",字段母版!$I$105="默认",字段母版!$I$105="派生",字段母版!$I$105="继承",字段母版!$I$105="Omnia自动",字段母版!$I$105="Agent执行",字段母版!$I$105="无需输入"))),字段母版!$A$105,"")</f>
        <v/>
      </c>
      <c r="B558" s="24" t="str">
        <f>IF(A558="","",字段母版!$G$105)</f>
        <v/>
      </c>
      <c r="C558" s="24" t="str">
        <f>IF(A558="","",字段母版!$I$105)</f>
        <v/>
      </c>
      <c r="D558" s="24" t="str">
        <f t="shared" si="13"/>
        <v/>
      </c>
    </row>
    <row r="559" spans="1:4" x14ac:dyDescent="0.25">
      <c r="A559" s="24" t="str">
        <f>IF(AND(OR(ISNUMBER(SEARCH("必填",字段母版!$J$106)),ISNUMBER(SEARCH("必需",字段母版!$J$106))),字段母版!$K$106="",NOT(OR(字段母版!$I$106="上传资料提取",字段母版!$I$106="默认",字段母版!$I$106="派生",字段母版!$I$106="继承",字段母版!$I$106="Omnia自动",字段母版!$I$106="Agent执行",字段母版!$I$106="无需输入"))),字段母版!$A$106,"")</f>
        <v/>
      </c>
      <c r="B559" s="24" t="str">
        <f>IF(A559="","",字段母版!$G$106)</f>
        <v/>
      </c>
      <c r="C559" s="24" t="str">
        <f>IF(A559="","",字段母版!$I$106)</f>
        <v/>
      </c>
      <c r="D559" s="24" t="str">
        <f t="shared" si="13"/>
        <v/>
      </c>
    </row>
    <row r="560" spans="1:4" x14ac:dyDescent="0.25">
      <c r="A560" s="24" t="str">
        <f>IF(AND(OR(ISNUMBER(SEARCH("必填",字段母版!$J$107)),ISNUMBER(SEARCH("必需",字段母版!$J$107))),字段母版!$K$107="",NOT(OR(字段母版!$I$107="上传资料提取",字段母版!$I$107="默认",字段母版!$I$107="派生",字段母版!$I$107="继承",字段母版!$I$107="Omnia自动",字段母版!$I$107="Agent执行",字段母版!$I$107="无需输入"))),字段母版!$A$107,"")</f>
        <v/>
      </c>
      <c r="B560" s="24" t="str">
        <f>IF(A560="","",字段母版!$G$107)</f>
        <v/>
      </c>
      <c r="C560" s="24" t="str">
        <f>IF(A560="","",字段母版!$I$107)</f>
        <v/>
      </c>
      <c r="D560" s="24" t="str">
        <f t="shared" si="13"/>
        <v/>
      </c>
    </row>
    <row r="561" spans="1:4" x14ac:dyDescent="0.25">
      <c r="A561" s="24" t="str">
        <f>IF(AND(OR(ISNUMBER(SEARCH("必填",字段母版!$J$108)),ISNUMBER(SEARCH("必需",字段母版!$J$108))),字段母版!$K$108="",NOT(OR(字段母版!$I$108="上传资料提取",字段母版!$I$108="默认",字段母版!$I$108="派生",字段母版!$I$108="继承",字段母版!$I$108="Omnia自动",字段母版!$I$108="Agent执行",字段母版!$I$108="无需输入"))),字段母版!$A$108,"")</f>
        <v/>
      </c>
      <c r="B561" s="24" t="str">
        <f>IF(A561="","",字段母版!$G$108)</f>
        <v/>
      </c>
      <c r="C561" s="24" t="str">
        <f>IF(A561="","",字段母版!$I$108)</f>
        <v/>
      </c>
      <c r="D561" s="24" t="str">
        <f t="shared" si="13"/>
        <v/>
      </c>
    </row>
    <row r="562" spans="1:4" x14ac:dyDescent="0.25">
      <c r="A562" s="24" t="str">
        <f>IF(AND(OR(ISNUMBER(SEARCH("必填",字段母版!$J$109)),ISNUMBER(SEARCH("必需",字段母版!$J$109))),字段母版!$K$109="",NOT(OR(字段母版!$I$109="上传资料提取",字段母版!$I$109="默认",字段母版!$I$109="派生",字段母版!$I$109="继承",字段母版!$I$109="Omnia自动",字段母版!$I$109="Agent执行",字段母版!$I$109="无需输入"))),字段母版!$A$109,"")</f>
        <v/>
      </c>
      <c r="B562" s="24" t="str">
        <f>IF(A562="","",字段母版!$G$109)</f>
        <v/>
      </c>
      <c r="C562" s="24" t="str">
        <f>IF(A562="","",字段母版!$I$109)</f>
        <v/>
      </c>
      <c r="D562" s="24" t="str">
        <f t="shared" si="13"/>
        <v/>
      </c>
    </row>
    <row r="563" spans="1:4" x14ac:dyDescent="0.25">
      <c r="A563" s="24" t="str">
        <f>IF(AND(OR(ISNUMBER(SEARCH("必填",字段母版!$J$110)),ISNUMBER(SEARCH("必需",字段母版!$J$110))),字段母版!$K$110="",NOT(OR(字段母版!$I$110="上传资料提取",字段母版!$I$110="默认",字段母版!$I$110="派生",字段母版!$I$110="继承",字段母版!$I$110="Omnia自动",字段母版!$I$110="Agent执行",字段母版!$I$110="无需输入"))),字段母版!$A$110,"")</f>
        <v/>
      </c>
      <c r="B563" s="24" t="str">
        <f>IF(A563="","",字段母版!$G$110)</f>
        <v/>
      </c>
      <c r="C563" s="24" t="str">
        <f>IF(A563="","",字段母版!$I$110)</f>
        <v/>
      </c>
      <c r="D563" s="24" t="str">
        <f t="shared" si="13"/>
        <v/>
      </c>
    </row>
    <row r="564" spans="1:4" x14ac:dyDescent="0.25">
      <c r="A564" s="24" t="str">
        <f>IF(AND(OR(ISNUMBER(SEARCH("必填",字段母版!$J$111)),ISNUMBER(SEARCH("必需",字段母版!$J$111))),字段母版!$K$111="",NOT(OR(字段母版!$I$111="上传资料提取",字段母版!$I$111="默认",字段母版!$I$111="派生",字段母版!$I$111="继承",字段母版!$I$111="Omnia自动",字段母版!$I$111="Agent执行",字段母版!$I$111="无需输入"))),字段母版!$A$111,"")</f>
        <v/>
      </c>
      <c r="B564" s="24" t="str">
        <f>IF(A564="","",字段母版!$G$111)</f>
        <v/>
      </c>
      <c r="C564" s="24" t="str">
        <f>IF(A564="","",字段母版!$I$111)</f>
        <v/>
      </c>
      <c r="D564" s="24" t="str">
        <f t="shared" si="13"/>
        <v/>
      </c>
    </row>
    <row r="565" spans="1:4" x14ac:dyDescent="0.25">
      <c r="A565" s="24" t="str">
        <f>IF(AND(OR(ISNUMBER(SEARCH("必填",字段母版!$J$112)),ISNUMBER(SEARCH("必需",字段母版!$J$112))),字段母版!$K$112="",NOT(OR(字段母版!$I$112="上传资料提取",字段母版!$I$112="默认",字段母版!$I$112="派生",字段母版!$I$112="继承",字段母版!$I$112="Omnia自动",字段母版!$I$112="Agent执行",字段母版!$I$112="无需输入"))),字段母版!$A$112,"")</f>
        <v/>
      </c>
      <c r="B565" s="24" t="str">
        <f>IF(A565="","",字段母版!$G$112)</f>
        <v/>
      </c>
      <c r="C565" s="24" t="str">
        <f>IF(A565="","",字段母版!$I$112)</f>
        <v/>
      </c>
      <c r="D565" s="24" t="str">
        <f t="shared" si="13"/>
        <v/>
      </c>
    </row>
    <row r="566" spans="1:4" x14ac:dyDescent="0.25">
      <c r="A566" s="24" t="str">
        <f>IF(AND(OR(ISNUMBER(SEARCH("必填",字段母版!$J$113)),ISNUMBER(SEARCH("必需",字段母版!$J$113))),字段母版!$K$113="",NOT(OR(字段母版!$I$113="上传资料提取",字段母版!$I$113="默认",字段母版!$I$113="派生",字段母版!$I$113="继承",字段母版!$I$113="Omnia自动",字段母版!$I$113="Agent执行",字段母版!$I$113="无需输入"))),字段母版!$A$113,"")</f>
        <v/>
      </c>
      <c r="B566" s="24" t="str">
        <f>IF(A566="","",字段母版!$G$113)</f>
        <v/>
      </c>
      <c r="C566" s="24" t="str">
        <f>IF(A566="","",字段母版!$I$113)</f>
        <v/>
      </c>
      <c r="D566" s="24" t="str">
        <f t="shared" si="13"/>
        <v/>
      </c>
    </row>
    <row r="567" spans="1:4" x14ac:dyDescent="0.25">
      <c r="A567" s="24" t="str">
        <f>IF(AND(OR(ISNUMBER(SEARCH("必填",字段母版!$J$114)),ISNUMBER(SEARCH("必需",字段母版!$J$114))),字段母版!$K$114="",NOT(OR(字段母版!$I$114="上传资料提取",字段母版!$I$114="默认",字段母版!$I$114="派生",字段母版!$I$114="继承",字段母版!$I$114="Omnia自动",字段母版!$I$114="Agent执行",字段母版!$I$114="无需输入"))),字段母版!$A$114,"")</f>
        <v/>
      </c>
      <c r="B567" s="24" t="str">
        <f>IF(A567="","",字段母版!$G$114)</f>
        <v/>
      </c>
      <c r="C567" s="24" t="str">
        <f>IF(A567="","",字段母版!$I$114)</f>
        <v/>
      </c>
      <c r="D567" s="24" t="str">
        <f t="shared" si="13"/>
        <v/>
      </c>
    </row>
    <row r="568" spans="1:4" x14ac:dyDescent="0.25">
      <c r="A568" s="24" t="str">
        <f>IF(AND(OR(ISNUMBER(SEARCH("必填",字段母版!$J$115)),ISNUMBER(SEARCH("必需",字段母版!$J$115))),字段母版!$K$115="",NOT(OR(字段母版!$I$115="上传资料提取",字段母版!$I$115="默认",字段母版!$I$115="派生",字段母版!$I$115="继承",字段母版!$I$115="Omnia自动",字段母版!$I$115="Agent执行",字段母版!$I$115="无需输入"))),字段母版!$A$115,"")</f>
        <v/>
      </c>
      <c r="B568" s="24" t="str">
        <f>IF(A568="","",字段母版!$G$115)</f>
        <v/>
      </c>
      <c r="C568" s="24" t="str">
        <f>IF(A568="","",字段母版!$I$115)</f>
        <v/>
      </c>
      <c r="D568" s="24" t="str">
        <f t="shared" si="13"/>
        <v/>
      </c>
    </row>
    <row r="569" spans="1:4" x14ac:dyDescent="0.25">
      <c r="A569" s="24" t="str">
        <f>IF(AND(OR(ISNUMBER(SEARCH("必填",字段母版!$J$116)),ISNUMBER(SEARCH("必需",字段母版!$J$116))),字段母版!$K$116="",NOT(OR(字段母版!$I$116="上传资料提取",字段母版!$I$116="默认",字段母版!$I$116="派生",字段母版!$I$116="继承",字段母版!$I$116="Omnia自动",字段母版!$I$116="Agent执行",字段母版!$I$116="无需输入"))),字段母版!$A$116,"")</f>
        <v/>
      </c>
      <c r="B569" s="24" t="str">
        <f>IF(A569="","",字段母版!$G$116)</f>
        <v/>
      </c>
      <c r="C569" s="24" t="str">
        <f>IF(A569="","",字段母版!$I$116)</f>
        <v/>
      </c>
      <c r="D569" s="24" t="str">
        <f t="shared" si="13"/>
        <v/>
      </c>
    </row>
    <row r="570" spans="1:4" x14ac:dyDescent="0.25">
      <c r="A570" s="24" t="str">
        <f>IF(AND(OR(ISNUMBER(SEARCH("必填",字段母版!$J$117)),ISNUMBER(SEARCH("必需",字段母版!$J$117))),字段母版!$K$117="",NOT(OR(字段母版!$I$117="上传资料提取",字段母版!$I$117="默认",字段母版!$I$117="派生",字段母版!$I$117="继承",字段母版!$I$117="Omnia自动",字段母版!$I$117="Agent执行",字段母版!$I$117="无需输入"))),字段母版!$A$117,"")</f>
        <v/>
      </c>
      <c r="B570" s="24" t="str">
        <f>IF(A570="","",字段母版!$G$117)</f>
        <v/>
      </c>
      <c r="C570" s="24" t="str">
        <f>IF(A570="","",字段母版!$I$117)</f>
        <v/>
      </c>
      <c r="D570" s="24" t="str">
        <f t="shared" si="13"/>
        <v/>
      </c>
    </row>
    <row r="571" spans="1:4" x14ac:dyDescent="0.25">
      <c r="A571" s="24" t="str">
        <f>IF(AND(OR(ISNUMBER(SEARCH("必填",字段母版!$J$118)),ISNUMBER(SEARCH("必需",字段母版!$J$118))),字段母版!$K$118="",NOT(OR(字段母版!$I$118="上传资料提取",字段母版!$I$118="默认",字段母版!$I$118="派生",字段母版!$I$118="继承",字段母版!$I$118="Omnia自动",字段母版!$I$118="Agent执行",字段母版!$I$118="无需输入"))),字段母版!$A$118,"")</f>
        <v/>
      </c>
      <c r="B571" s="24" t="str">
        <f>IF(A571="","",字段母版!$G$118)</f>
        <v/>
      </c>
      <c r="C571" s="24" t="str">
        <f>IF(A571="","",字段母版!$I$118)</f>
        <v/>
      </c>
      <c r="D571" s="24" t="str">
        <f t="shared" si="13"/>
        <v/>
      </c>
    </row>
    <row r="572" spans="1:4" x14ac:dyDescent="0.25">
      <c r="A572" s="24" t="str">
        <f>IF(AND(OR(ISNUMBER(SEARCH("必填",字段母版!$J$119)),ISNUMBER(SEARCH("必需",字段母版!$J$119))),字段母版!$K$119="",NOT(OR(字段母版!$I$119="上传资料提取",字段母版!$I$119="默认",字段母版!$I$119="派生",字段母版!$I$119="继承",字段母版!$I$119="Omnia自动",字段母版!$I$119="Agent执行",字段母版!$I$119="无需输入"))),字段母版!$A$119,"")</f>
        <v/>
      </c>
      <c r="B572" s="24" t="str">
        <f>IF(A572="","",字段母版!$G$119)</f>
        <v/>
      </c>
      <c r="C572" s="24" t="str">
        <f>IF(A572="","",字段母版!$I$119)</f>
        <v/>
      </c>
      <c r="D572" s="24" t="str">
        <f t="shared" si="13"/>
        <v/>
      </c>
    </row>
    <row r="573" spans="1:4" x14ac:dyDescent="0.25">
      <c r="A573" s="24" t="str">
        <f>IF(AND(OR(ISNUMBER(SEARCH("必填",字段母版!$J$120)),ISNUMBER(SEARCH("必需",字段母版!$J$120))),字段母版!$K$120="",NOT(OR(字段母版!$I$120="上传资料提取",字段母版!$I$120="默认",字段母版!$I$120="派生",字段母版!$I$120="继承",字段母版!$I$120="Omnia自动",字段母版!$I$120="Agent执行",字段母版!$I$120="无需输入"))),字段母版!$A$120,"")</f>
        <v/>
      </c>
      <c r="B573" s="24" t="str">
        <f>IF(A573="","",字段母版!$G$120)</f>
        <v/>
      </c>
      <c r="C573" s="24" t="str">
        <f>IF(A573="","",字段母版!$I$120)</f>
        <v/>
      </c>
      <c r="D573" s="24" t="str">
        <f t="shared" si="13"/>
        <v/>
      </c>
    </row>
    <row r="574" spans="1:4" x14ac:dyDescent="0.25">
      <c r="A574" s="24" t="str">
        <f>IF(AND(OR(ISNUMBER(SEARCH("必填",字段母版!$J$121)),ISNUMBER(SEARCH("必需",字段母版!$J$121))),字段母版!$K$121="",NOT(OR(字段母版!$I$121="上传资料提取",字段母版!$I$121="默认",字段母版!$I$121="派生",字段母版!$I$121="继承",字段母版!$I$121="Omnia自动",字段母版!$I$121="Agent执行",字段母版!$I$121="无需输入"))),字段母版!$A$121,"")</f>
        <v/>
      </c>
      <c r="B574" s="24" t="str">
        <f>IF(A574="","",字段母版!$G$121)</f>
        <v/>
      </c>
      <c r="C574" s="24" t="str">
        <f>IF(A574="","",字段母版!$I$121)</f>
        <v/>
      </c>
      <c r="D574" s="24" t="str">
        <f t="shared" si="13"/>
        <v/>
      </c>
    </row>
    <row r="575" spans="1:4" x14ac:dyDescent="0.25">
      <c r="A575" s="24" t="str">
        <f>IF(AND(OR(ISNUMBER(SEARCH("必填",字段母版!$J$122)),ISNUMBER(SEARCH("必需",字段母版!$J$122))),字段母版!$K$122="",NOT(OR(字段母版!$I$122="上传资料提取",字段母版!$I$122="默认",字段母版!$I$122="派生",字段母版!$I$122="继承",字段母版!$I$122="Omnia自动",字段母版!$I$122="Agent执行",字段母版!$I$122="无需输入"))),字段母版!$A$122,"")</f>
        <v/>
      </c>
      <c r="B575" s="24" t="str">
        <f>IF(A575="","",字段母版!$G$122)</f>
        <v/>
      </c>
      <c r="C575" s="24" t="str">
        <f>IF(A575="","",字段母版!$I$122)</f>
        <v/>
      </c>
      <c r="D575" s="24" t="str">
        <f t="shared" si="13"/>
        <v/>
      </c>
    </row>
    <row r="576" spans="1:4" x14ac:dyDescent="0.25">
      <c r="A576" s="24" t="str">
        <f>IF(AND(OR(ISNUMBER(SEARCH("必填",字段母版!$J$123)),ISNUMBER(SEARCH("必需",字段母版!$J$123))),字段母版!$K$123="",NOT(OR(字段母版!$I$123="上传资料提取",字段母版!$I$123="默认",字段母版!$I$123="派生",字段母版!$I$123="继承",字段母版!$I$123="Omnia自动",字段母版!$I$123="Agent执行",字段母版!$I$123="无需输入"))),字段母版!$A$123,"")</f>
        <v/>
      </c>
      <c r="B576" s="24" t="str">
        <f>IF(A576="","",字段母版!$G$123)</f>
        <v/>
      </c>
      <c r="C576" s="24" t="str">
        <f>IF(A576="","",字段母版!$I$123)</f>
        <v/>
      </c>
      <c r="D576" s="24" t="str">
        <f t="shared" si="13"/>
        <v/>
      </c>
    </row>
    <row r="577" spans="1:4" x14ac:dyDescent="0.25">
      <c r="A577" s="24" t="str">
        <f>IF(AND(OR(ISNUMBER(SEARCH("必填",字段母版!$J$124)),ISNUMBER(SEARCH("必需",字段母版!$J$124))),字段母版!$K$124="",NOT(OR(字段母版!$I$124="上传资料提取",字段母版!$I$124="默认",字段母版!$I$124="派生",字段母版!$I$124="继承",字段母版!$I$124="Omnia自动",字段母版!$I$124="Agent执行",字段母版!$I$124="无需输入"))),字段母版!$A$124,"")</f>
        <v/>
      </c>
      <c r="B577" s="24" t="str">
        <f>IF(A577="","",字段母版!$G$124)</f>
        <v/>
      </c>
      <c r="C577" s="24" t="str">
        <f>IF(A577="","",字段母版!$I$124)</f>
        <v/>
      </c>
      <c r="D577" s="24" t="str">
        <f t="shared" si="13"/>
        <v/>
      </c>
    </row>
    <row r="578" spans="1:4" x14ac:dyDescent="0.25">
      <c r="A578" s="24" t="str">
        <f>IF(AND(OR(ISNUMBER(SEARCH("必填",字段母版!$J$125)),ISNUMBER(SEARCH("必需",字段母版!$J$125))),字段母版!$K$125="",NOT(OR(字段母版!$I$125="上传资料提取",字段母版!$I$125="默认",字段母版!$I$125="派生",字段母版!$I$125="继承",字段母版!$I$125="Omnia自动",字段母版!$I$125="Agent执行",字段母版!$I$125="无需输入"))),字段母版!$A$125,"")</f>
        <v/>
      </c>
      <c r="B578" s="24" t="str">
        <f>IF(A578="","",字段母版!$G$125)</f>
        <v/>
      </c>
      <c r="C578" s="24" t="str">
        <f>IF(A578="","",字段母版!$I$125)</f>
        <v/>
      </c>
      <c r="D578" s="24" t="str">
        <f t="shared" si="13"/>
        <v/>
      </c>
    </row>
    <row r="579" spans="1:4" x14ac:dyDescent="0.25">
      <c r="A579" s="24" t="str">
        <f>IF(AND(OR(ISNUMBER(SEARCH("必填",字段母版!$J$126)),ISNUMBER(SEARCH("必需",字段母版!$J$126))),字段母版!$K$126="",NOT(OR(字段母版!$I$126="上传资料提取",字段母版!$I$126="默认",字段母版!$I$126="派生",字段母版!$I$126="继承",字段母版!$I$126="Omnia自动",字段母版!$I$126="Agent执行",字段母版!$I$126="无需输入"))),字段母版!$A$126,"")</f>
        <v/>
      </c>
      <c r="B579" s="24" t="str">
        <f>IF(A579="","",字段母版!$G$126)</f>
        <v/>
      </c>
      <c r="C579" s="24" t="str">
        <f>IF(A579="","",字段母版!$I$126)</f>
        <v/>
      </c>
      <c r="D579" s="24" t="str">
        <f t="shared" si="13"/>
        <v/>
      </c>
    </row>
    <row r="580" spans="1:4" x14ac:dyDescent="0.25">
      <c r="A580" s="24" t="str">
        <f>IF(AND(OR(ISNUMBER(SEARCH("必填",字段母版!$J$127)),ISNUMBER(SEARCH("必需",字段母版!$J$127))),字段母版!$K$127="",NOT(OR(字段母版!$I$127="上传资料提取",字段母版!$I$127="默认",字段母版!$I$127="派生",字段母版!$I$127="继承",字段母版!$I$127="Omnia自动",字段母版!$I$127="Agent执行",字段母版!$I$127="无需输入"))),字段母版!$A$127,"")</f>
        <v/>
      </c>
      <c r="B580" s="24" t="str">
        <f>IF(A580="","",字段母版!$G$127)</f>
        <v/>
      </c>
      <c r="C580" s="24" t="str">
        <f>IF(A580="","",字段母版!$I$127)</f>
        <v/>
      </c>
      <c r="D580" s="24" t="str">
        <f t="shared" si="13"/>
        <v/>
      </c>
    </row>
    <row r="581" spans="1:4" x14ac:dyDescent="0.25">
      <c r="A581" s="24" t="str">
        <f>IF(AND(OR(ISNUMBER(SEARCH("必填",字段母版!$J$128)),ISNUMBER(SEARCH("必需",字段母版!$J$128))),字段母版!$K$128="",NOT(OR(字段母版!$I$128="上传资料提取",字段母版!$I$128="默认",字段母版!$I$128="派生",字段母版!$I$128="继承",字段母版!$I$128="Omnia自动",字段母版!$I$128="Agent执行",字段母版!$I$128="无需输入"))),字段母版!$A$128,"")</f>
        <v/>
      </c>
      <c r="B581" s="24" t="str">
        <f>IF(A581="","",字段母版!$G$128)</f>
        <v/>
      </c>
      <c r="C581" s="24" t="str">
        <f>IF(A581="","",字段母版!$I$128)</f>
        <v/>
      </c>
      <c r="D581" s="24" t="str">
        <f t="shared" si="13"/>
        <v/>
      </c>
    </row>
    <row r="582" spans="1:4" x14ac:dyDescent="0.25">
      <c r="A582" s="24" t="str">
        <f>IF(AND(OR(ISNUMBER(SEARCH("必填",字段母版!$J$129)),ISNUMBER(SEARCH("必需",字段母版!$J$129))),字段母版!$K$129="",NOT(OR(字段母版!$I$129="上传资料提取",字段母版!$I$129="默认",字段母版!$I$129="派生",字段母版!$I$129="继承",字段母版!$I$129="Omnia自动",字段母版!$I$129="Agent执行",字段母版!$I$129="无需输入"))),字段母版!$A$129,"")</f>
        <v/>
      </c>
      <c r="B582" s="24" t="str">
        <f>IF(A582="","",字段母版!$G$129)</f>
        <v/>
      </c>
      <c r="C582" s="24" t="str">
        <f>IF(A582="","",字段母版!$I$129)</f>
        <v/>
      </c>
      <c r="D582" s="24" t="str">
        <f t="shared" si="13"/>
        <v/>
      </c>
    </row>
    <row r="583" spans="1:4" x14ac:dyDescent="0.25">
      <c r="A583" s="24" t="str">
        <f>IF(AND(OR(ISNUMBER(SEARCH("必填",字段母版!$J$130)),ISNUMBER(SEARCH("必需",字段母版!$J$130))),字段母版!$K$130="",NOT(OR(字段母版!$I$130="上传资料提取",字段母版!$I$130="默认",字段母版!$I$130="派生",字段母版!$I$130="继承",字段母版!$I$130="Omnia自动",字段母版!$I$130="Agent执行",字段母版!$I$130="无需输入"))),字段母版!$A$130,"")</f>
        <v/>
      </c>
      <c r="B583" s="24" t="str">
        <f>IF(A583="","",字段母版!$G$130)</f>
        <v/>
      </c>
      <c r="C583" s="24" t="str">
        <f>IF(A583="","",字段母版!$I$130)</f>
        <v/>
      </c>
      <c r="D583" s="24" t="str">
        <f t="shared" si="13"/>
        <v/>
      </c>
    </row>
    <row r="584" spans="1:4" x14ac:dyDescent="0.25">
      <c r="A584" s="24" t="str">
        <f>IF(AND(OR(ISNUMBER(SEARCH("必填",字段母版!$J$131)),ISNUMBER(SEARCH("必需",字段母版!$J$131))),字段母版!$K$131="",NOT(OR(字段母版!$I$131="上传资料提取",字段母版!$I$131="默认",字段母版!$I$131="派生",字段母版!$I$131="继承",字段母版!$I$131="Omnia自动",字段母版!$I$131="Agent执行",字段母版!$I$131="无需输入"))),字段母版!$A$131,"")</f>
        <v/>
      </c>
      <c r="B584" s="24" t="str">
        <f>IF(A584="","",字段母版!$G$131)</f>
        <v/>
      </c>
      <c r="C584" s="24" t="str">
        <f>IF(A584="","",字段母版!$I$131)</f>
        <v/>
      </c>
      <c r="D584" s="24" t="str">
        <f t="shared" si="13"/>
        <v/>
      </c>
    </row>
    <row r="585" spans="1:4" x14ac:dyDescent="0.25">
      <c r="A585" s="24" t="str">
        <f>IF(AND(OR(ISNUMBER(SEARCH("必填",字段母版!$J$132)),ISNUMBER(SEARCH("必需",字段母版!$J$132))),字段母版!$K$132="",NOT(OR(字段母版!$I$132="上传资料提取",字段母版!$I$132="默认",字段母版!$I$132="派生",字段母版!$I$132="继承",字段母版!$I$132="Omnia自动",字段母版!$I$132="Agent执行",字段母版!$I$132="无需输入"))),字段母版!$A$132,"")</f>
        <v/>
      </c>
      <c r="B585" s="24" t="str">
        <f>IF(A585="","",字段母版!$G$132)</f>
        <v/>
      </c>
      <c r="C585" s="24" t="str">
        <f>IF(A585="","",字段母版!$I$132)</f>
        <v/>
      </c>
      <c r="D585" s="24" t="str">
        <f t="shared" si="13"/>
        <v/>
      </c>
    </row>
    <row r="586" spans="1:4" x14ac:dyDescent="0.25">
      <c r="A586" s="24" t="str">
        <f>IF(AND(OR(ISNUMBER(SEARCH("必填",字段母版!$J$133)),ISNUMBER(SEARCH("必需",字段母版!$J$133))),字段母版!$K$133="",NOT(OR(字段母版!$I$133="上传资料提取",字段母版!$I$133="默认",字段母版!$I$133="派生",字段母版!$I$133="继承",字段母版!$I$133="Omnia自动",字段母版!$I$133="Agent执行",字段母版!$I$133="无需输入"))),字段母版!$A$133,"")</f>
        <v/>
      </c>
      <c r="B586" s="24" t="str">
        <f>IF(A586="","",字段母版!$G$133)</f>
        <v/>
      </c>
      <c r="C586" s="24" t="str">
        <f>IF(A586="","",字段母版!$I$133)</f>
        <v/>
      </c>
      <c r="D586" s="24" t="str">
        <f t="shared" ref="D586:D617" si="14">IF(A586="","","必填策略既无默认/回退也无明确上传/派生/继承/自动来源")</f>
        <v/>
      </c>
    </row>
    <row r="587" spans="1:4" x14ac:dyDescent="0.25">
      <c r="A587" s="24" t="str">
        <f>IF(AND(OR(ISNUMBER(SEARCH("必填",字段母版!$J$134)),ISNUMBER(SEARCH("必需",字段母版!$J$134))),字段母版!$K$134="",NOT(OR(字段母版!$I$134="上传资料提取",字段母版!$I$134="默认",字段母版!$I$134="派生",字段母版!$I$134="继承",字段母版!$I$134="Omnia自动",字段母版!$I$134="Agent执行",字段母版!$I$134="无需输入"))),字段母版!$A$134,"")</f>
        <v/>
      </c>
      <c r="B587" s="24" t="str">
        <f>IF(A587="","",字段母版!$G$134)</f>
        <v/>
      </c>
      <c r="C587" s="24" t="str">
        <f>IF(A587="","",字段母版!$I$134)</f>
        <v/>
      </c>
      <c r="D587" s="24" t="str">
        <f t="shared" si="14"/>
        <v/>
      </c>
    </row>
    <row r="588" spans="1:4" x14ac:dyDescent="0.25">
      <c r="A588" s="24" t="str">
        <f>IF(AND(OR(ISNUMBER(SEARCH("必填",字段母版!$J$135)),ISNUMBER(SEARCH("必需",字段母版!$J$135))),字段母版!$K$135="",NOT(OR(字段母版!$I$135="上传资料提取",字段母版!$I$135="默认",字段母版!$I$135="派生",字段母版!$I$135="继承",字段母版!$I$135="Omnia自动",字段母版!$I$135="Agent执行",字段母版!$I$135="无需输入"))),字段母版!$A$135,"")</f>
        <v/>
      </c>
      <c r="B588" s="24" t="str">
        <f>IF(A588="","",字段母版!$G$135)</f>
        <v/>
      </c>
      <c r="C588" s="24" t="str">
        <f>IF(A588="","",字段母版!$I$135)</f>
        <v/>
      </c>
      <c r="D588" s="24" t="str">
        <f t="shared" si="14"/>
        <v/>
      </c>
    </row>
    <row r="589" spans="1:4" x14ac:dyDescent="0.25">
      <c r="A589" s="24" t="str">
        <f>IF(AND(OR(ISNUMBER(SEARCH("必填",字段母版!$J$136)),ISNUMBER(SEARCH("必需",字段母版!$J$136))),字段母版!$K$136="",NOT(OR(字段母版!$I$136="上传资料提取",字段母版!$I$136="默认",字段母版!$I$136="派生",字段母版!$I$136="继承",字段母版!$I$136="Omnia自动",字段母版!$I$136="Agent执行",字段母版!$I$136="无需输入"))),字段母版!$A$136,"")</f>
        <v/>
      </c>
      <c r="B589" s="24" t="str">
        <f>IF(A589="","",字段母版!$G$136)</f>
        <v/>
      </c>
      <c r="C589" s="24" t="str">
        <f>IF(A589="","",字段母版!$I$136)</f>
        <v/>
      </c>
      <c r="D589" s="24" t="str">
        <f t="shared" si="14"/>
        <v/>
      </c>
    </row>
    <row r="590" spans="1:4" x14ac:dyDescent="0.25">
      <c r="A590" s="24" t="str">
        <f>IF(AND(OR(ISNUMBER(SEARCH("必填",字段母版!$J$137)),ISNUMBER(SEARCH("必需",字段母版!$J$137))),字段母版!$K$137="",NOT(OR(字段母版!$I$137="上传资料提取",字段母版!$I$137="默认",字段母版!$I$137="派生",字段母版!$I$137="继承",字段母版!$I$137="Omnia自动",字段母版!$I$137="Agent执行",字段母版!$I$137="无需输入"))),字段母版!$A$137,"")</f>
        <v/>
      </c>
      <c r="B590" s="24" t="str">
        <f>IF(A590="","",字段母版!$G$137)</f>
        <v/>
      </c>
      <c r="C590" s="24" t="str">
        <f>IF(A590="","",字段母版!$I$137)</f>
        <v/>
      </c>
      <c r="D590" s="24" t="str">
        <f t="shared" si="14"/>
        <v/>
      </c>
    </row>
    <row r="591" spans="1:4" x14ac:dyDescent="0.25">
      <c r="A591" s="24" t="str">
        <f>IF(AND(OR(ISNUMBER(SEARCH("必填",字段母版!$J$138)),ISNUMBER(SEARCH("必需",字段母版!$J$138))),字段母版!$K$138="",NOT(OR(字段母版!$I$138="上传资料提取",字段母版!$I$138="默认",字段母版!$I$138="派生",字段母版!$I$138="继承",字段母版!$I$138="Omnia自动",字段母版!$I$138="Agent执行",字段母版!$I$138="无需输入"))),字段母版!$A$138,"")</f>
        <v/>
      </c>
      <c r="B591" s="24" t="str">
        <f>IF(A591="","",字段母版!$G$138)</f>
        <v/>
      </c>
      <c r="C591" s="24" t="str">
        <f>IF(A591="","",字段母版!$I$138)</f>
        <v/>
      </c>
      <c r="D591" s="24" t="str">
        <f t="shared" si="14"/>
        <v/>
      </c>
    </row>
    <row r="592" spans="1:4" x14ac:dyDescent="0.25">
      <c r="A592" s="24" t="str">
        <f>IF(AND(OR(ISNUMBER(SEARCH("必填",字段母版!$J$139)),ISNUMBER(SEARCH("必需",字段母版!$J$139))),字段母版!$K$139="",NOT(OR(字段母版!$I$139="上传资料提取",字段母版!$I$139="默认",字段母版!$I$139="派生",字段母版!$I$139="继承",字段母版!$I$139="Omnia自动",字段母版!$I$139="Agent执行",字段母版!$I$139="无需输入"))),字段母版!$A$139,"")</f>
        <v/>
      </c>
      <c r="B592" s="24" t="str">
        <f>IF(A592="","",字段母版!$G$139)</f>
        <v/>
      </c>
      <c r="C592" s="24" t="str">
        <f>IF(A592="","",字段母版!$I$139)</f>
        <v/>
      </c>
      <c r="D592" s="24" t="str">
        <f t="shared" si="14"/>
        <v/>
      </c>
    </row>
    <row r="593" spans="1:4" x14ac:dyDescent="0.25">
      <c r="A593" s="24" t="str">
        <f>IF(AND(OR(ISNUMBER(SEARCH("必填",字段母版!$J$140)),ISNUMBER(SEARCH("必需",字段母版!$J$140))),字段母版!$K$140="",NOT(OR(字段母版!$I$140="上传资料提取",字段母版!$I$140="默认",字段母版!$I$140="派生",字段母版!$I$140="继承",字段母版!$I$140="Omnia自动",字段母版!$I$140="Agent执行",字段母版!$I$140="无需输入"))),字段母版!$A$140,"")</f>
        <v/>
      </c>
      <c r="B593" s="24" t="str">
        <f>IF(A593="","",字段母版!$G$140)</f>
        <v/>
      </c>
      <c r="C593" s="24" t="str">
        <f>IF(A593="","",字段母版!$I$140)</f>
        <v/>
      </c>
      <c r="D593" s="24" t="str">
        <f t="shared" si="14"/>
        <v/>
      </c>
    </row>
    <row r="594" spans="1:4" x14ac:dyDescent="0.25">
      <c r="A594" s="24" t="str">
        <f>IF(AND(OR(ISNUMBER(SEARCH("必填",字段母版!$J$141)),ISNUMBER(SEARCH("必需",字段母版!$J$141))),字段母版!$K$141="",NOT(OR(字段母版!$I$141="上传资料提取",字段母版!$I$141="默认",字段母版!$I$141="派生",字段母版!$I$141="继承",字段母版!$I$141="Omnia自动",字段母版!$I$141="Agent执行",字段母版!$I$141="无需输入"))),字段母版!$A$141,"")</f>
        <v/>
      </c>
      <c r="B594" s="24" t="str">
        <f>IF(A594="","",字段母版!$G$141)</f>
        <v/>
      </c>
      <c r="C594" s="24" t="str">
        <f>IF(A594="","",字段母版!$I$141)</f>
        <v/>
      </c>
      <c r="D594" s="24" t="str">
        <f t="shared" si="14"/>
        <v/>
      </c>
    </row>
    <row r="595" spans="1:4" x14ac:dyDescent="0.25">
      <c r="A595" s="24" t="str">
        <f>IF(AND(OR(ISNUMBER(SEARCH("必填",字段母版!$J$142)),ISNUMBER(SEARCH("必需",字段母版!$J$142))),字段母版!$K$142="",NOT(OR(字段母版!$I$142="上传资料提取",字段母版!$I$142="默认",字段母版!$I$142="派生",字段母版!$I$142="继承",字段母版!$I$142="Omnia自动",字段母版!$I$142="Agent执行",字段母版!$I$142="无需输入"))),字段母版!$A$142,"")</f>
        <v/>
      </c>
      <c r="B595" s="24" t="str">
        <f>IF(A595="","",字段母版!$G$142)</f>
        <v/>
      </c>
      <c r="C595" s="24" t="str">
        <f>IF(A595="","",字段母版!$I$142)</f>
        <v/>
      </c>
      <c r="D595" s="24" t="str">
        <f t="shared" si="14"/>
        <v/>
      </c>
    </row>
    <row r="596" spans="1:4" x14ac:dyDescent="0.25">
      <c r="A596" s="24" t="str">
        <f>IF(AND(OR(ISNUMBER(SEARCH("必填",字段母版!$J$143)),ISNUMBER(SEARCH("必需",字段母版!$J$143))),字段母版!$K$143="",NOT(OR(字段母版!$I$143="上传资料提取",字段母版!$I$143="默认",字段母版!$I$143="派生",字段母版!$I$143="继承",字段母版!$I$143="Omnia自动",字段母版!$I$143="Agent执行",字段母版!$I$143="无需输入"))),字段母版!$A$143,"")</f>
        <v/>
      </c>
      <c r="B596" s="24" t="str">
        <f>IF(A596="","",字段母版!$G$143)</f>
        <v/>
      </c>
      <c r="C596" s="24" t="str">
        <f>IF(A596="","",字段母版!$I$143)</f>
        <v/>
      </c>
      <c r="D596" s="24" t="str">
        <f t="shared" si="14"/>
        <v/>
      </c>
    </row>
    <row r="597" spans="1:4" x14ac:dyDescent="0.25">
      <c r="A597" s="24" t="str">
        <f>IF(AND(OR(ISNUMBER(SEARCH("必填",字段母版!$J$144)),ISNUMBER(SEARCH("必需",字段母版!$J$144))),字段母版!$K$144="",NOT(OR(字段母版!$I$144="上传资料提取",字段母版!$I$144="默认",字段母版!$I$144="派生",字段母版!$I$144="继承",字段母版!$I$144="Omnia自动",字段母版!$I$144="Agent执行",字段母版!$I$144="无需输入"))),字段母版!$A$144,"")</f>
        <v/>
      </c>
      <c r="B597" s="24" t="str">
        <f>IF(A597="","",字段母版!$G$144)</f>
        <v/>
      </c>
      <c r="C597" s="24" t="str">
        <f>IF(A597="","",字段母版!$I$144)</f>
        <v/>
      </c>
      <c r="D597" s="24" t="str">
        <f t="shared" si="14"/>
        <v/>
      </c>
    </row>
    <row r="598" spans="1:4" x14ac:dyDescent="0.25">
      <c r="A598" s="24" t="str">
        <f>IF(AND(OR(ISNUMBER(SEARCH("必填",字段母版!$J$145)),ISNUMBER(SEARCH("必需",字段母版!$J$145))),字段母版!$K$145="",NOT(OR(字段母版!$I$145="上传资料提取",字段母版!$I$145="默认",字段母版!$I$145="派生",字段母版!$I$145="继承",字段母版!$I$145="Omnia自动",字段母版!$I$145="Agent执行",字段母版!$I$145="无需输入"))),字段母版!$A$145,"")</f>
        <v/>
      </c>
      <c r="B598" s="24" t="str">
        <f>IF(A598="","",字段母版!$G$145)</f>
        <v/>
      </c>
      <c r="C598" s="24" t="str">
        <f>IF(A598="","",字段母版!$I$145)</f>
        <v/>
      </c>
      <c r="D598" s="24" t="str">
        <f t="shared" si="14"/>
        <v/>
      </c>
    </row>
    <row r="599" spans="1:4" x14ac:dyDescent="0.25">
      <c r="A599" s="24" t="str">
        <f>IF(AND(OR(ISNUMBER(SEARCH("必填",字段母版!$J$146)),ISNUMBER(SEARCH("必需",字段母版!$J$146))),字段母版!$K$146="",NOT(OR(字段母版!$I$146="上传资料提取",字段母版!$I$146="默认",字段母版!$I$146="派生",字段母版!$I$146="继承",字段母版!$I$146="Omnia自动",字段母版!$I$146="Agent执行",字段母版!$I$146="无需输入"))),字段母版!$A$146,"")</f>
        <v/>
      </c>
      <c r="B599" s="24" t="str">
        <f>IF(A599="","",字段母版!$G$146)</f>
        <v/>
      </c>
      <c r="C599" s="24" t="str">
        <f>IF(A599="","",字段母版!$I$146)</f>
        <v/>
      </c>
      <c r="D599" s="24" t="str">
        <f t="shared" si="14"/>
        <v/>
      </c>
    </row>
    <row r="600" spans="1:4" x14ac:dyDescent="0.25">
      <c r="A600" s="24" t="str">
        <f>IF(AND(OR(ISNUMBER(SEARCH("必填",字段母版!$J$147)),ISNUMBER(SEARCH("必需",字段母版!$J$147))),字段母版!$K$147="",NOT(OR(字段母版!$I$147="上传资料提取",字段母版!$I$147="默认",字段母版!$I$147="派生",字段母版!$I$147="继承",字段母版!$I$147="Omnia自动",字段母版!$I$147="Agent执行",字段母版!$I$147="无需输入"))),字段母版!$A$147,"")</f>
        <v/>
      </c>
      <c r="B600" s="24" t="str">
        <f>IF(A600="","",字段母版!$G$147)</f>
        <v/>
      </c>
      <c r="C600" s="24" t="str">
        <f>IF(A600="","",字段母版!$I$147)</f>
        <v/>
      </c>
      <c r="D600" s="24" t="str">
        <f t="shared" si="14"/>
        <v/>
      </c>
    </row>
    <row r="601" spans="1:4" x14ac:dyDescent="0.25">
      <c r="A601" s="24" t="str">
        <f>IF(AND(OR(ISNUMBER(SEARCH("必填",字段母版!$J$148)),ISNUMBER(SEARCH("必需",字段母版!$J$148))),字段母版!$K$148="",NOT(OR(字段母版!$I$148="上传资料提取",字段母版!$I$148="默认",字段母版!$I$148="派生",字段母版!$I$148="继承",字段母版!$I$148="Omnia自动",字段母版!$I$148="Agent执行",字段母版!$I$148="无需输入"))),字段母版!$A$148,"")</f>
        <v/>
      </c>
      <c r="B601" s="24" t="str">
        <f>IF(A601="","",字段母版!$G$148)</f>
        <v/>
      </c>
      <c r="C601" s="24" t="str">
        <f>IF(A601="","",字段母版!$I$148)</f>
        <v/>
      </c>
      <c r="D601" s="24" t="str">
        <f t="shared" si="14"/>
        <v/>
      </c>
    </row>
    <row r="602" spans="1:4" x14ac:dyDescent="0.25">
      <c r="A602" s="24" t="str">
        <f>IF(AND(OR(ISNUMBER(SEARCH("必填",字段母版!$J$149)),ISNUMBER(SEARCH("必需",字段母版!$J$149))),字段母版!$K$149="",NOT(OR(字段母版!$I$149="上传资料提取",字段母版!$I$149="默认",字段母版!$I$149="派生",字段母版!$I$149="继承",字段母版!$I$149="Omnia自动",字段母版!$I$149="Agent执行",字段母版!$I$149="无需输入"))),字段母版!$A$149,"")</f>
        <v/>
      </c>
      <c r="B602" s="24" t="str">
        <f>IF(A602="","",字段母版!$G$149)</f>
        <v/>
      </c>
      <c r="C602" s="24" t="str">
        <f>IF(A602="","",字段母版!$I$149)</f>
        <v/>
      </c>
      <c r="D602" s="24" t="str">
        <f t="shared" si="14"/>
        <v/>
      </c>
    </row>
    <row r="603" spans="1:4" x14ac:dyDescent="0.25">
      <c r="A603" s="24" t="str">
        <f>IF(AND(OR(ISNUMBER(SEARCH("必填",字段母版!$J$150)),ISNUMBER(SEARCH("必需",字段母版!$J$150))),字段母版!$K$150="",NOT(OR(字段母版!$I$150="上传资料提取",字段母版!$I$150="默认",字段母版!$I$150="派生",字段母版!$I$150="继承",字段母版!$I$150="Omnia自动",字段母版!$I$150="Agent执行",字段母版!$I$150="无需输入"))),字段母版!$A$150,"")</f>
        <v/>
      </c>
      <c r="B603" s="24" t="str">
        <f>IF(A603="","",字段母版!$G$150)</f>
        <v/>
      </c>
      <c r="C603" s="24" t="str">
        <f>IF(A603="","",字段母版!$I$150)</f>
        <v/>
      </c>
      <c r="D603" s="24" t="str">
        <f t="shared" si="14"/>
        <v/>
      </c>
    </row>
    <row r="604" spans="1:4" x14ac:dyDescent="0.25">
      <c r="A604" s="24" t="str">
        <f>IF(AND(OR(ISNUMBER(SEARCH("必填",字段母版!$J$151)),ISNUMBER(SEARCH("必需",字段母版!$J$151))),字段母版!$K$151="",NOT(OR(字段母版!$I$151="上传资料提取",字段母版!$I$151="默认",字段母版!$I$151="派生",字段母版!$I$151="继承",字段母版!$I$151="Omnia自动",字段母版!$I$151="Agent执行",字段母版!$I$151="无需输入"))),字段母版!$A$151,"")</f>
        <v/>
      </c>
      <c r="B604" s="24" t="str">
        <f>IF(A604="","",字段母版!$G$151)</f>
        <v/>
      </c>
      <c r="C604" s="24" t="str">
        <f>IF(A604="","",字段母版!$I$151)</f>
        <v/>
      </c>
      <c r="D604" s="24" t="str">
        <f t="shared" si="14"/>
        <v/>
      </c>
    </row>
    <row r="605" spans="1:4" x14ac:dyDescent="0.25">
      <c r="A605" s="24" t="str">
        <f>IF(AND(OR(ISNUMBER(SEARCH("必填",字段母版!$J$152)),ISNUMBER(SEARCH("必需",字段母版!$J$152))),字段母版!$K$152="",NOT(OR(字段母版!$I$152="上传资料提取",字段母版!$I$152="默认",字段母版!$I$152="派生",字段母版!$I$152="继承",字段母版!$I$152="Omnia自动",字段母版!$I$152="Agent执行",字段母版!$I$152="无需输入"))),字段母版!$A$152,"")</f>
        <v/>
      </c>
      <c r="B605" s="24" t="str">
        <f>IF(A605="","",字段母版!$G$152)</f>
        <v/>
      </c>
      <c r="C605" s="24" t="str">
        <f>IF(A605="","",字段母版!$I$152)</f>
        <v/>
      </c>
      <c r="D605" s="24" t="str">
        <f t="shared" si="14"/>
        <v/>
      </c>
    </row>
    <row r="606" spans="1:4" x14ac:dyDescent="0.25">
      <c r="A606" s="24" t="str">
        <f>IF(AND(OR(ISNUMBER(SEARCH("必填",字段母版!$J$153)),ISNUMBER(SEARCH("必需",字段母版!$J$153))),字段母版!$K$153="",NOT(OR(字段母版!$I$153="上传资料提取",字段母版!$I$153="默认",字段母版!$I$153="派生",字段母版!$I$153="继承",字段母版!$I$153="Omnia自动",字段母版!$I$153="Agent执行",字段母版!$I$153="无需输入"))),字段母版!$A$153,"")</f>
        <v/>
      </c>
      <c r="B606" s="24" t="str">
        <f>IF(A606="","",字段母版!$G$153)</f>
        <v/>
      </c>
      <c r="C606" s="24" t="str">
        <f>IF(A606="","",字段母版!$I$153)</f>
        <v/>
      </c>
      <c r="D606" s="24" t="str">
        <f t="shared" si="14"/>
        <v/>
      </c>
    </row>
    <row r="607" spans="1:4" x14ac:dyDescent="0.25">
      <c r="A607" s="24" t="str">
        <f>IF(AND(OR(ISNUMBER(SEARCH("必填",字段母版!$J$154)),ISNUMBER(SEARCH("必需",字段母版!$J$154))),字段母版!$K$154="",NOT(OR(字段母版!$I$154="上传资料提取",字段母版!$I$154="默认",字段母版!$I$154="派生",字段母版!$I$154="继承",字段母版!$I$154="Omnia自动",字段母版!$I$154="Agent执行",字段母版!$I$154="无需输入"))),字段母版!$A$154,"")</f>
        <v/>
      </c>
      <c r="B607" s="24" t="str">
        <f>IF(A607="","",字段母版!$G$154)</f>
        <v/>
      </c>
      <c r="C607" s="24" t="str">
        <f>IF(A607="","",字段母版!$I$154)</f>
        <v/>
      </c>
      <c r="D607" s="24" t="str">
        <f t="shared" si="14"/>
        <v/>
      </c>
    </row>
    <row r="608" spans="1:4" x14ac:dyDescent="0.25">
      <c r="A608" s="24" t="str">
        <f>IF(AND(OR(ISNUMBER(SEARCH("必填",字段母版!$J$155)),ISNUMBER(SEARCH("必需",字段母版!$J$155))),字段母版!$K$155="",NOT(OR(字段母版!$I$155="上传资料提取",字段母版!$I$155="默认",字段母版!$I$155="派生",字段母版!$I$155="继承",字段母版!$I$155="Omnia自动",字段母版!$I$155="Agent执行",字段母版!$I$155="无需输入"))),字段母版!$A$155,"")</f>
        <v/>
      </c>
      <c r="B608" s="24" t="str">
        <f>IF(A608="","",字段母版!$G$155)</f>
        <v/>
      </c>
      <c r="C608" s="24" t="str">
        <f>IF(A608="","",字段母版!$I$155)</f>
        <v/>
      </c>
      <c r="D608" s="24" t="str">
        <f t="shared" si="14"/>
        <v/>
      </c>
    </row>
    <row r="609" spans="1:4" x14ac:dyDescent="0.25">
      <c r="A609" s="24" t="str">
        <f>IF(AND(OR(ISNUMBER(SEARCH("必填",字段母版!$J$156)),ISNUMBER(SEARCH("必需",字段母版!$J$156))),字段母版!$K$156="",NOT(OR(字段母版!$I$156="上传资料提取",字段母版!$I$156="默认",字段母版!$I$156="派生",字段母版!$I$156="继承",字段母版!$I$156="Omnia自动",字段母版!$I$156="Agent执行",字段母版!$I$156="无需输入"))),字段母版!$A$156,"")</f>
        <v/>
      </c>
      <c r="B609" s="24" t="str">
        <f>IF(A609="","",字段母版!$G$156)</f>
        <v/>
      </c>
      <c r="C609" s="24" t="str">
        <f>IF(A609="","",字段母版!$I$156)</f>
        <v/>
      </c>
      <c r="D609" s="24" t="str">
        <f t="shared" si="14"/>
        <v/>
      </c>
    </row>
    <row r="610" spans="1:4" x14ac:dyDescent="0.25">
      <c r="A610" s="24" t="str">
        <f>IF(AND(OR(ISNUMBER(SEARCH("必填",字段母版!$J$157)),ISNUMBER(SEARCH("必需",字段母版!$J$157))),字段母版!$K$157="",NOT(OR(字段母版!$I$157="上传资料提取",字段母版!$I$157="默认",字段母版!$I$157="派生",字段母版!$I$157="继承",字段母版!$I$157="Omnia自动",字段母版!$I$157="Agent执行",字段母版!$I$157="无需输入"))),字段母版!$A$157,"")</f>
        <v/>
      </c>
      <c r="B610" s="24" t="str">
        <f>IF(A610="","",字段母版!$G$157)</f>
        <v/>
      </c>
      <c r="C610" s="24" t="str">
        <f>IF(A610="","",字段母版!$I$157)</f>
        <v/>
      </c>
      <c r="D610" s="24" t="str">
        <f t="shared" si="14"/>
        <v/>
      </c>
    </row>
    <row r="611" spans="1:4" x14ac:dyDescent="0.25">
      <c r="A611" s="24" t="str">
        <f>IF(AND(OR(ISNUMBER(SEARCH("必填",字段母版!$J$158)),ISNUMBER(SEARCH("必需",字段母版!$J$158))),字段母版!$K$158="",NOT(OR(字段母版!$I$158="上传资料提取",字段母版!$I$158="默认",字段母版!$I$158="派生",字段母版!$I$158="继承",字段母版!$I$158="Omnia自动",字段母版!$I$158="Agent执行",字段母版!$I$158="无需输入"))),字段母版!$A$158,"")</f>
        <v/>
      </c>
      <c r="B611" s="24" t="str">
        <f>IF(A611="","",字段母版!$G$158)</f>
        <v/>
      </c>
      <c r="C611" s="24" t="str">
        <f>IF(A611="","",字段母版!$I$158)</f>
        <v/>
      </c>
      <c r="D611" s="24" t="str">
        <f t="shared" si="14"/>
        <v/>
      </c>
    </row>
    <row r="612" spans="1:4" x14ac:dyDescent="0.25">
      <c r="A612" s="24" t="str">
        <f>IF(AND(OR(ISNUMBER(SEARCH("必填",字段母版!$J$159)),ISNUMBER(SEARCH("必需",字段母版!$J$159))),字段母版!$K$159="",NOT(OR(字段母版!$I$159="上传资料提取",字段母版!$I$159="默认",字段母版!$I$159="派生",字段母版!$I$159="继承",字段母版!$I$159="Omnia自动",字段母版!$I$159="Agent执行",字段母版!$I$159="无需输入"))),字段母版!$A$159,"")</f>
        <v/>
      </c>
      <c r="B612" s="24" t="str">
        <f>IF(A612="","",字段母版!$G$159)</f>
        <v/>
      </c>
      <c r="C612" s="24" t="str">
        <f>IF(A612="","",字段母版!$I$159)</f>
        <v/>
      </c>
      <c r="D612" s="24" t="str">
        <f t="shared" si="14"/>
        <v/>
      </c>
    </row>
    <row r="613" spans="1:4" x14ac:dyDescent="0.25">
      <c r="A613" s="24" t="str">
        <f>IF(AND(OR(ISNUMBER(SEARCH("必填",字段母版!$J$160)),ISNUMBER(SEARCH("必需",字段母版!$J$160))),字段母版!$K$160="",NOT(OR(字段母版!$I$160="上传资料提取",字段母版!$I$160="默认",字段母版!$I$160="派生",字段母版!$I$160="继承",字段母版!$I$160="Omnia自动",字段母版!$I$160="Agent执行",字段母版!$I$160="无需输入"))),字段母版!$A$160,"")</f>
        <v/>
      </c>
      <c r="B613" s="24" t="str">
        <f>IF(A613="","",字段母版!$G$160)</f>
        <v/>
      </c>
      <c r="C613" s="24" t="str">
        <f>IF(A613="","",字段母版!$I$160)</f>
        <v/>
      </c>
      <c r="D613" s="24" t="str">
        <f t="shared" si="14"/>
        <v/>
      </c>
    </row>
    <row r="614" spans="1:4" x14ac:dyDescent="0.25">
      <c r="A614" s="24" t="str">
        <f>IF(AND(OR(ISNUMBER(SEARCH("必填",字段母版!$J$161)),ISNUMBER(SEARCH("必需",字段母版!$J$161))),字段母版!$K$161="",NOT(OR(字段母版!$I$161="上传资料提取",字段母版!$I$161="默认",字段母版!$I$161="派生",字段母版!$I$161="继承",字段母版!$I$161="Omnia自动",字段母版!$I$161="Agent执行",字段母版!$I$161="无需输入"))),字段母版!$A$161,"")</f>
        <v/>
      </c>
      <c r="B614" s="24" t="str">
        <f>IF(A614="","",字段母版!$G$161)</f>
        <v/>
      </c>
      <c r="C614" s="24" t="str">
        <f>IF(A614="","",字段母版!$I$161)</f>
        <v/>
      </c>
      <c r="D614" s="24" t="str">
        <f t="shared" si="14"/>
        <v/>
      </c>
    </row>
    <row r="615" spans="1:4" x14ac:dyDescent="0.25">
      <c r="A615" s="24" t="str">
        <f>IF(AND(OR(ISNUMBER(SEARCH("必填",字段母版!$J$162)),ISNUMBER(SEARCH("必需",字段母版!$J$162))),字段母版!$K$162="",NOT(OR(字段母版!$I$162="上传资料提取",字段母版!$I$162="默认",字段母版!$I$162="派生",字段母版!$I$162="继承",字段母版!$I$162="Omnia自动",字段母版!$I$162="Agent执行",字段母版!$I$162="无需输入"))),字段母版!$A$162,"")</f>
        <v/>
      </c>
      <c r="B615" s="24" t="str">
        <f>IF(A615="","",字段母版!$G$162)</f>
        <v/>
      </c>
      <c r="C615" s="24" t="str">
        <f>IF(A615="","",字段母版!$I$162)</f>
        <v/>
      </c>
      <c r="D615" s="24" t="str">
        <f t="shared" si="14"/>
        <v/>
      </c>
    </row>
    <row r="616" spans="1:4" x14ac:dyDescent="0.25">
      <c r="A616" s="24" t="str">
        <f>IF(AND(OR(ISNUMBER(SEARCH("必填",字段母版!$J$163)),ISNUMBER(SEARCH("必需",字段母版!$J$163))),字段母版!$K$163="",NOT(OR(字段母版!$I$163="上传资料提取",字段母版!$I$163="默认",字段母版!$I$163="派生",字段母版!$I$163="继承",字段母版!$I$163="Omnia自动",字段母版!$I$163="Agent执行",字段母版!$I$163="无需输入"))),字段母版!$A$163,"")</f>
        <v/>
      </c>
      <c r="B616" s="24" t="str">
        <f>IF(A616="","",字段母版!$G$163)</f>
        <v/>
      </c>
      <c r="C616" s="24" t="str">
        <f>IF(A616="","",字段母版!$I$163)</f>
        <v/>
      </c>
      <c r="D616" s="24" t="str">
        <f t="shared" si="14"/>
        <v/>
      </c>
    </row>
    <row r="617" spans="1:4" x14ac:dyDescent="0.25">
      <c r="A617" s="24" t="str">
        <f>IF(AND(OR(ISNUMBER(SEARCH("必填",字段母版!$J$164)),ISNUMBER(SEARCH("必需",字段母版!$J$164))),字段母版!$K$164="",NOT(OR(字段母版!$I$164="上传资料提取",字段母版!$I$164="默认",字段母版!$I$164="派生",字段母版!$I$164="继承",字段母版!$I$164="Omnia自动",字段母版!$I$164="Agent执行",字段母版!$I$164="无需输入"))),字段母版!$A$164,"")</f>
        <v/>
      </c>
      <c r="B617" s="24" t="str">
        <f>IF(A617="","",字段母版!$G$164)</f>
        <v/>
      </c>
      <c r="C617" s="24" t="str">
        <f>IF(A617="","",字段母版!$I$164)</f>
        <v/>
      </c>
      <c r="D617" s="24" t="str">
        <f t="shared" si="14"/>
        <v/>
      </c>
    </row>
    <row r="618" spans="1:4" x14ac:dyDescent="0.25">
      <c r="A618" s="24" t="str">
        <f>IF(AND(OR(ISNUMBER(SEARCH("必填",字段母版!$J$165)),ISNUMBER(SEARCH("必需",字段母版!$J$165))),字段母版!$K$165="",NOT(OR(字段母版!$I$165="上传资料提取",字段母版!$I$165="默认",字段母版!$I$165="派生",字段母版!$I$165="继承",字段母版!$I$165="Omnia自动",字段母版!$I$165="Agent执行",字段母版!$I$165="无需输入"))),字段母版!$A$165,"")</f>
        <v/>
      </c>
      <c r="B618" s="24" t="str">
        <f>IF(A618="","",字段母版!$G$165)</f>
        <v/>
      </c>
      <c r="C618" s="24" t="str">
        <f>IF(A618="","",字段母版!$I$165)</f>
        <v/>
      </c>
      <c r="D618" s="24" t="str">
        <f t="shared" ref="D618:D640" si="15">IF(A618="","","必填策略既无默认/回退也无明确上传/派生/继承/自动来源")</f>
        <v/>
      </c>
    </row>
    <row r="619" spans="1:4" x14ac:dyDescent="0.25">
      <c r="A619" s="24" t="str">
        <f>IF(AND(OR(ISNUMBER(SEARCH("必填",字段母版!$J$166)),ISNUMBER(SEARCH("必需",字段母版!$J$166))),字段母版!$K$166="",NOT(OR(字段母版!$I$166="上传资料提取",字段母版!$I$166="默认",字段母版!$I$166="派生",字段母版!$I$166="继承",字段母版!$I$166="Omnia自动",字段母版!$I$166="Agent执行",字段母版!$I$166="无需输入"))),字段母版!$A$166,"")</f>
        <v/>
      </c>
      <c r="B619" s="24" t="str">
        <f>IF(A619="","",字段母版!$G$166)</f>
        <v/>
      </c>
      <c r="C619" s="24" t="str">
        <f>IF(A619="","",字段母版!$I$166)</f>
        <v/>
      </c>
      <c r="D619" s="24" t="str">
        <f t="shared" si="15"/>
        <v/>
      </c>
    </row>
    <row r="620" spans="1:4" x14ac:dyDescent="0.25">
      <c r="A620" s="24" t="str">
        <f>IF(AND(OR(ISNUMBER(SEARCH("必填",字段母版!$J$167)),ISNUMBER(SEARCH("必需",字段母版!$J$167))),字段母版!$K$167="",NOT(OR(字段母版!$I$167="上传资料提取",字段母版!$I$167="默认",字段母版!$I$167="派生",字段母版!$I$167="继承",字段母版!$I$167="Omnia自动",字段母版!$I$167="Agent执行",字段母版!$I$167="无需输入"))),字段母版!$A$167,"")</f>
        <v/>
      </c>
      <c r="B620" s="24" t="str">
        <f>IF(A620="","",字段母版!$G$167)</f>
        <v/>
      </c>
      <c r="C620" s="24" t="str">
        <f>IF(A620="","",字段母版!$I$167)</f>
        <v/>
      </c>
      <c r="D620" s="24" t="str">
        <f t="shared" si="15"/>
        <v/>
      </c>
    </row>
    <row r="621" spans="1:4" x14ac:dyDescent="0.25">
      <c r="A621" s="24" t="str">
        <f>IF(AND(OR(ISNUMBER(SEARCH("必填",字段母版!$J$168)),ISNUMBER(SEARCH("必需",字段母版!$J$168))),字段母版!$K$168="",NOT(OR(字段母版!$I$168="上传资料提取",字段母版!$I$168="默认",字段母版!$I$168="派生",字段母版!$I$168="继承",字段母版!$I$168="Omnia自动",字段母版!$I$168="Agent执行",字段母版!$I$168="无需输入"))),字段母版!$A$168,"")</f>
        <v/>
      </c>
      <c r="B621" s="24" t="str">
        <f>IF(A621="","",字段母版!$G$168)</f>
        <v/>
      </c>
      <c r="C621" s="24" t="str">
        <f>IF(A621="","",字段母版!$I$168)</f>
        <v/>
      </c>
      <c r="D621" s="24" t="str">
        <f t="shared" si="15"/>
        <v/>
      </c>
    </row>
    <row r="622" spans="1:4" x14ac:dyDescent="0.25">
      <c r="A622" s="24" t="str">
        <f>IF(AND(OR(ISNUMBER(SEARCH("必填",字段母版!$J$169)),ISNUMBER(SEARCH("必需",字段母版!$J$169))),字段母版!$K$169="",NOT(OR(字段母版!$I$169="上传资料提取",字段母版!$I$169="默认",字段母版!$I$169="派生",字段母版!$I$169="继承",字段母版!$I$169="Omnia自动",字段母版!$I$169="Agent执行",字段母版!$I$169="无需输入"))),字段母版!$A$169,"")</f>
        <v/>
      </c>
      <c r="B622" s="24" t="str">
        <f>IF(A622="","",字段母版!$G$169)</f>
        <v/>
      </c>
      <c r="C622" s="24" t="str">
        <f>IF(A622="","",字段母版!$I$169)</f>
        <v/>
      </c>
      <c r="D622" s="24" t="str">
        <f t="shared" si="15"/>
        <v/>
      </c>
    </row>
    <row r="623" spans="1:4" x14ac:dyDescent="0.25">
      <c r="A623" s="24" t="str">
        <f>IF(AND(OR(ISNUMBER(SEARCH("必填",字段母版!$J$170)),ISNUMBER(SEARCH("必需",字段母版!$J$170))),字段母版!$K$170="",NOT(OR(字段母版!$I$170="上传资料提取",字段母版!$I$170="默认",字段母版!$I$170="派生",字段母版!$I$170="继承",字段母版!$I$170="Omnia自动",字段母版!$I$170="Agent执行",字段母版!$I$170="无需输入"))),字段母版!$A$170,"")</f>
        <v/>
      </c>
      <c r="B623" s="24" t="str">
        <f>IF(A623="","",字段母版!$G$170)</f>
        <v/>
      </c>
      <c r="C623" s="24" t="str">
        <f>IF(A623="","",字段母版!$I$170)</f>
        <v/>
      </c>
      <c r="D623" s="24" t="str">
        <f t="shared" si="15"/>
        <v/>
      </c>
    </row>
    <row r="624" spans="1:4" x14ac:dyDescent="0.25">
      <c r="A624" s="24" t="str">
        <f>IF(AND(OR(ISNUMBER(SEARCH("必填",字段母版!$J$171)),ISNUMBER(SEARCH("必需",字段母版!$J$171))),字段母版!$K$171="",NOT(OR(字段母版!$I$171="上传资料提取",字段母版!$I$171="默认",字段母版!$I$171="派生",字段母版!$I$171="继承",字段母版!$I$171="Omnia自动",字段母版!$I$171="Agent执行",字段母版!$I$171="无需输入"))),字段母版!$A$171,"")</f>
        <v/>
      </c>
      <c r="B624" s="24" t="str">
        <f>IF(A624="","",字段母版!$G$171)</f>
        <v/>
      </c>
      <c r="C624" s="24" t="str">
        <f>IF(A624="","",字段母版!$I$171)</f>
        <v/>
      </c>
      <c r="D624" s="24" t="str">
        <f t="shared" si="15"/>
        <v/>
      </c>
    </row>
    <row r="625" spans="1:4" x14ac:dyDescent="0.25">
      <c r="A625" s="24" t="str">
        <f>IF(AND(OR(ISNUMBER(SEARCH("必填",字段母版!$J$172)),ISNUMBER(SEARCH("必需",字段母版!$J$172))),字段母版!$K$172="",NOT(OR(字段母版!$I$172="上传资料提取",字段母版!$I$172="默认",字段母版!$I$172="派生",字段母版!$I$172="继承",字段母版!$I$172="Omnia自动",字段母版!$I$172="Agent执行",字段母版!$I$172="无需输入"))),字段母版!$A$172,"")</f>
        <v/>
      </c>
      <c r="B625" s="24" t="str">
        <f>IF(A625="","",字段母版!$G$172)</f>
        <v/>
      </c>
      <c r="C625" s="24" t="str">
        <f>IF(A625="","",字段母版!$I$172)</f>
        <v/>
      </c>
      <c r="D625" s="24" t="str">
        <f t="shared" si="15"/>
        <v/>
      </c>
    </row>
    <row r="626" spans="1:4" x14ac:dyDescent="0.25">
      <c r="A626" s="24" t="str">
        <f>IF(AND(OR(ISNUMBER(SEARCH("必填",字段母版!$J$173)),ISNUMBER(SEARCH("必需",字段母版!$J$173))),字段母版!$K$173="",NOT(OR(字段母版!$I$173="上传资料提取",字段母版!$I$173="默认",字段母版!$I$173="派生",字段母版!$I$173="继承",字段母版!$I$173="Omnia自动",字段母版!$I$173="Agent执行",字段母版!$I$173="无需输入"))),字段母版!$A$173,"")</f>
        <v/>
      </c>
      <c r="B626" s="24" t="str">
        <f>IF(A626="","",字段母版!$G$173)</f>
        <v/>
      </c>
      <c r="C626" s="24" t="str">
        <f>IF(A626="","",字段母版!$I$173)</f>
        <v/>
      </c>
      <c r="D626" s="24" t="str">
        <f t="shared" si="15"/>
        <v/>
      </c>
    </row>
    <row r="627" spans="1:4" x14ac:dyDescent="0.25">
      <c r="A627" s="24" t="str">
        <f>IF(AND(OR(ISNUMBER(SEARCH("必填",字段母版!$J$174)),ISNUMBER(SEARCH("必需",字段母版!$J$174))),字段母版!$K$174="",NOT(OR(字段母版!$I$174="上传资料提取",字段母版!$I$174="默认",字段母版!$I$174="派生",字段母版!$I$174="继承",字段母版!$I$174="Omnia自动",字段母版!$I$174="Agent执行",字段母版!$I$174="无需输入"))),字段母版!$A$174,"")</f>
        <v/>
      </c>
      <c r="B627" s="24" t="str">
        <f>IF(A627="","",字段母版!$G$174)</f>
        <v/>
      </c>
      <c r="C627" s="24" t="str">
        <f>IF(A627="","",字段母版!$I$174)</f>
        <v/>
      </c>
      <c r="D627" s="24" t="str">
        <f t="shared" si="15"/>
        <v/>
      </c>
    </row>
    <row r="628" spans="1:4" x14ac:dyDescent="0.25">
      <c r="A628" s="24" t="str">
        <f>IF(AND(OR(ISNUMBER(SEARCH("必填",字段母版!$J$175)),ISNUMBER(SEARCH("必需",字段母版!$J$175))),字段母版!$K$175="",NOT(OR(字段母版!$I$175="上传资料提取",字段母版!$I$175="默认",字段母版!$I$175="派生",字段母版!$I$175="继承",字段母版!$I$175="Omnia自动",字段母版!$I$175="Agent执行",字段母版!$I$175="无需输入"))),字段母版!$A$175,"")</f>
        <v/>
      </c>
      <c r="B628" s="24" t="str">
        <f>IF(A628="","",字段母版!$G$175)</f>
        <v/>
      </c>
      <c r="C628" s="24" t="str">
        <f>IF(A628="","",字段母版!$I$175)</f>
        <v/>
      </c>
      <c r="D628" s="24" t="str">
        <f t="shared" si="15"/>
        <v/>
      </c>
    </row>
    <row r="629" spans="1:4" x14ac:dyDescent="0.25">
      <c r="A629" s="24" t="str">
        <f>IF(AND(OR(ISNUMBER(SEARCH("必填",字段母版!$J$176)),ISNUMBER(SEARCH("必需",字段母版!$J$176))),字段母版!$K$176="",NOT(OR(字段母版!$I$176="上传资料提取",字段母版!$I$176="默认",字段母版!$I$176="派生",字段母版!$I$176="继承",字段母版!$I$176="Omnia自动",字段母版!$I$176="Agent执行",字段母版!$I$176="无需输入"))),字段母版!$A$176,"")</f>
        <v/>
      </c>
      <c r="B629" s="24" t="str">
        <f>IF(A629="","",字段母版!$G$176)</f>
        <v/>
      </c>
      <c r="C629" s="24" t="str">
        <f>IF(A629="","",字段母版!$I$176)</f>
        <v/>
      </c>
      <c r="D629" s="24" t="str">
        <f t="shared" si="15"/>
        <v/>
      </c>
    </row>
    <row r="630" spans="1:4" x14ac:dyDescent="0.25">
      <c r="A630" s="24" t="str">
        <f>IF(AND(OR(ISNUMBER(SEARCH("必填",字段母版!$J$177)),ISNUMBER(SEARCH("必需",字段母版!$J$177))),字段母版!$K$177="",NOT(OR(字段母版!$I$177="上传资料提取",字段母版!$I$177="默认",字段母版!$I$177="派生",字段母版!$I$177="继承",字段母版!$I$177="Omnia自动",字段母版!$I$177="Agent执行",字段母版!$I$177="无需输入"))),字段母版!$A$177,"")</f>
        <v/>
      </c>
      <c r="B630" s="24" t="str">
        <f>IF(A630="","",字段母版!$G$177)</f>
        <v/>
      </c>
      <c r="C630" s="24" t="str">
        <f>IF(A630="","",字段母版!$I$177)</f>
        <v/>
      </c>
      <c r="D630" s="24" t="str">
        <f t="shared" si="15"/>
        <v/>
      </c>
    </row>
    <row r="631" spans="1:4" x14ac:dyDescent="0.25">
      <c r="A631" s="24" t="str">
        <f>IF(AND(OR(ISNUMBER(SEARCH("必填",字段母版!$J$178)),ISNUMBER(SEARCH("必需",字段母版!$J$178))),字段母版!$K$178="",NOT(OR(字段母版!$I$178="上传资料提取",字段母版!$I$178="默认",字段母版!$I$178="派生",字段母版!$I$178="继承",字段母版!$I$178="Omnia自动",字段母版!$I$178="Agent执行",字段母版!$I$178="无需输入"))),字段母版!$A$178,"")</f>
        <v/>
      </c>
      <c r="B631" s="24" t="str">
        <f>IF(A631="","",字段母版!$G$178)</f>
        <v/>
      </c>
      <c r="C631" s="24" t="str">
        <f>IF(A631="","",字段母版!$I$178)</f>
        <v/>
      </c>
      <c r="D631" s="24" t="str">
        <f t="shared" si="15"/>
        <v/>
      </c>
    </row>
    <row r="632" spans="1:4" x14ac:dyDescent="0.25">
      <c r="A632" s="24" t="str">
        <f>IF(AND(OR(ISNUMBER(SEARCH("必填",字段母版!$J$179)),ISNUMBER(SEARCH("必需",字段母版!$J$179))),字段母版!$K$179="",NOT(OR(字段母版!$I$179="上传资料提取",字段母版!$I$179="默认",字段母版!$I$179="派生",字段母版!$I$179="继承",字段母版!$I$179="Omnia自动",字段母版!$I$179="Agent执行",字段母版!$I$179="无需输入"))),字段母版!$A$179,"")</f>
        <v/>
      </c>
      <c r="B632" s="24" t="str">
        <f>IF(A632="","",字段母版!$G$179)</f>
        <v/>
      </c>
      <c r="C632" s="24" t="str">
        <f>IF(A632="","",字段母版!$I$179)</f>
        <v/>
      </c>
      <c r="D632" s="24" t="str">
        <f t="shared" si="15"/>
        <v/>
      </c>
    </row>
    <row r="633" spans="1:4" x14ac:dyDescent="0.25">
      <c r="A633" s="24" t="str">
        <f>IF(AND(OR(ISNUMBER(SEARCH("必填",字段母版!$J$180)),ISNUMBER(SEARCH("必需",字段母版!$J$180))),字段母版!$K$180="",NOT(OR(字段母版!$I$180="上传资料提取",字段母版!$I$180="默认",字段母版!$I$180="派生",字段母版!$I$180="继承",字段母版!$I$180="Omnia自动",字段母版!$I$180="Agent执行",字段母版!$I$180="无需输入"))),字段母版!$A$180,"")</f>
        <v/>
      </c>
      <c r="B633" s="24" t="str">
        <f>IF(A633="","",字段母版!$G$180)</f>
        <v/>
      </c>
      <c r="C633" s="24" t="str">
        <f>IF(A633="","",字段母版!$I$180)</f>
        <v/>
      </c>
      <c r="D633" s="24" t="str">
        <f t="shared" si="15"/>
        <v/>
      </c>
    </row>
    <row r="634" spans="1:4" x14ac:dyDescent="0.25">
      <c r="A634" s="24" t="str">
        <f>IF(AND(OR(ISNUMBER(SEARCH("必填",字段母版!$J$181)),ISNUMBER(SEARCH("必需",字段母版!$J$181))),字段母版!$K$181="",NOT(OR(字段母版!$I$181="上传资料提取",字段母版!$I$181="默认",字段母版!$I$181="派生",字段母版!$I$181="继承",字段母版!$I$181="Omnia自动",字段母版!$I$181="Agent执行",字段母版!$I$181="无需输入"))),字段母版!$A$181,"")</f>
        <v/>
      </c>
      <c r="B634" s="24" t="str">
        <f>IF(A634="","",字段母版!$G$181)</f>
        <v/>
      </c>
      <c r="C634" s="24" t="str">
        <f>IF(A634="","",字段母版!$I$181)</f>
        <v/>
      </c>
      <c r="D634" s="24" t="str">
        <f t="shared" si="15"/>
        <v/>
      </c>
    </row>
    <row r="635" spans="1:4" x14ac:dyDescent="0.25">
      <c r="A635" s="24" t="str">
        <f>IF(AND(OR(ISNUMBER(SEARCH("必填",字段母版!$J$182)),ISNUMBER(SEARCH("必需",字段母版!$J$182))),字段母版!$K$182="",NOT(OR(字段母版!$I$182="上传资料提取",字段母版!$I$182="默认",字段母版!$I$182="派生",字段母版!$I$182="继承",字段母版!$I$182="Omnia自动",字段母版!$I$182="Agent执行",字段母版!$I$182="无需输入"))),字段母版!$A$182,"")</f>
        <v/>
      </c>
      <c r="B635" s="24" t="str">
        <f>IF(A635="","",字段母版!$G$182)</f>
        <v/>
      </c>
      <c r="C635" s="24" t="str">
        <f>IF(A635="","",字段母版!$I$182)</f>
        <v/>
      </c>
      <c r="D635" s="24" t="str">
        <f t="shared" si="15"/>
        <v/>
      </c>
    </row>
    <row r="636" spans="1:4" x14ac:dyDescent="0.25">
      <c r="A636" s="24" t="str">
        <f>IF(AND(OR(ISNUMBER(SEARCH("必填",字段母版!$J$183)),ISNUMBER(SEARCH("必需",字段母版!$J$183))),字段母版!$K$183="",NOT(OR(字段母版!$I$183="上传资料提取",字段母版!$I$183="默认",字段母版!$I$183="派生",字段母版!$I$183="继承",字段母版!$I$183="Omnia自动",字段母版!$I$183="Agent执行",字段母版!$I$183="无需输入"))),字段母版!$A$183,"")</f>
        <v/>
      </c>
      <c r="B636" s="24" t="str">
        <f>IF(A636="","",字段母版!$G$183)</f>
        <v/>
      </c>
      <c r="C636" s="24" t="str">
        <f>IF(A636="","",字段母版!$I$183)</f>
        <v/>
      </c>
      <c r="D636" s="24" t="str">
        <f t="shared" si="15"/>
        <v/>
      </c>
    </row>
    <row r="637" spans="1:4" x14ac:dyDescent="0.25">
      <c r="A637" s="24" t="str">
        <f>IF(AND(OR(ISNUMBER(SEARCH("必填",字段母版!$J$184)),ISNUMBER(SEARCH("必需",字段母版!$J$184))),字段母版!$K$184="",NOT(OR(字段母版!$I$184="上传资料提取",字段母版!$I$184="默认",字段母版!$I$184="派生",字段母版!$I$184="继承",字段母版!$I$184="Omnia自动",字段母版!$I$184="Agent执行",字段母版!$I$184="无需输入"))),字段母版!$A$184,"")</f>
        <v/>
      </c>
      <c r="B637" s="24" t="str">
        <f>IF(A637="","",字段母版!$G$184)</f>
        <v/>
      </c>
      <c r="C637" s="24" t="str">
        <f>IF(A637="","",字段母版!$I$184)</f>
        <v/>
      </c>
      <c r="D637" s="24" t="str">
        <f t="shared" si="15"/>
        <v/>
      </c>
    </row>
    <row r="638" spans="1:4" x14ac:dyDescent="0.25">
      <c r="A638" s="24" t="str">
        <f>IF(AND(OR(ISNUMBER(SEARCH("必填",字段母版!$J$185)),ISNUMBER(SEARCH("必需",字段母版!$J$185))),字段母版!$K$185="",NOT(OR(字段母版!$I$185="上传资料提取",字段母版!$I$185="默认",字段母版!$I$185="派生",字段母版!$I$185="继承",字段母版!$I$185="Omnia自动",字段母版!$I$185="Agent执行",字段母版!$I$185="无需输入"))),字段母版!$A$185,"")</f>
        <v/>
      </c>
      <c r="B638" s="24" t="str">
        <f>IF(A638="","",字段母版!$G$185)</f>
        <v/>
      </c>
      <c r="C638" s="24" t="str">
        <f>IF(A638="","",字段母版!$I$185)</f>
        <v/>
      </c>
      <c r="D638" s="24" t="str">
        <f t="shared" si="15"/>
        <v/>
      </c>
    </row>
    <row r="639" spans="1:4" x14ac:dyDescent="0.25">
      <c r="A639" s="24" t="str">
        <f>IF(AND(OR(ISNUMBER(SEARCH("必填",字段母版!$J$186)),ISNUMBER(SEARCH("必需",字段母版!$J$186))),字段母版!$K$186="",NOT(OR(字段母版!$I$186="上传资料提取",字段母版!$I$186="默认",字段母版!$I$186="派生",字段母版!$I$186="继承",字段母版!$I$186="Omnia自动",字段母版!$I$186="Agent执行",字段母版!$I$186="无需输入"))),字段母版!$A$186,"")</f>
        <v/>
      </c>
      <c r="B639" s="24" t="str">
        <f>IF(A639="","",字段母版!$G$186)</f>
        <v/>
      </c>
      <c r="C639" s="24" t="str">
        <f>IF(A639="","",字段母版!$I$186)</f>
        <v/>
      </c>
      <c r="D639" s="24" t="str">
        <f t="shared" si="15"/>
        <v/>
      </c>
    </row>
    <row r="640" spans="1:4" x14ac:dyDescent="0.25">
      <c r="A640" s="25" t="str">
        <f>IF(AND(OR(ISNUMBER(SEARCH("必填",字段母版!$J$187)),ISNUMBER(SEARCH("必需",字段母版!$J$187))),字段母版!$K$187="",NOT(OR(字段母版!$I$187="上传资料提取",字段母版!$I$187="默认",字段母版!$I$187="派生",字段母版!$I$187="继承",字段母版!$I$187="Omnia自动",字段母版!$I$187="Agent执行",字段母版!$I$187="无需输入"))),字段母版!$A$187,"")</f>
        <v/>
      </c>
      <c r="B640" s="25" t="str">
        <f>IF(A640="","",字段母版!$G$187)</f>
        <v/>
      </c>
      <c r="C640" s="25" t="str">
        <f>IF(A640="","",字段母版!$I$187)</f>
        <v/>
      </c>
      <c r="D640" s="25" t="str">
        <f t="shared" si="15"/>
        <v/>
      </c>
    </row>
    <row r="643" spans="1:7" x14ac:dyDescent="0.25">
      <c r="A643" s="87" t="s">
        <v>1228</v>
      </c>
      <c r="B643" s="73"/>
      <c r="C643" s="73"/>
      <c r="D643" s="73"/>
      <c r="E643" s="73"/>
      <c r="F643" s="73"/>
      <c r="G643" s="73"/>
    </row>
    <row r="644" spans="1:7" x14ac:dyDescent="0.25">
      <c r="A644" s="22" t="s">
        <v>40</v>
      </c>
      <c r="B644" s="22" t="s">
        <v>52</v>
      </c>
      <c r="C644" s="22" t="s">
        <v>1209</v>
      </c>
      <c r="D644" s="22" t="s">
        <v>1223</v>
      </c>
    </row>
    <row r="645" spans="1:7" x14ac:dyDescent="0.25">
      <c r="A645" s="23" t="str">
        <f>IF(AND(OR(字段母版!$N$5&lt;&gt;"",字段母版!$O$5&lt;&gt;"",字段母版!$P$5&lt;&gt;"",字段母版!$Q$5&lt;&gt;""),字段母版!$R$5=""),字段母版!$A$5,"")</f>
        <v/>
      </c>
      <c r="B645" s="23" t="str">
        <f>IF(A645="","",字段母版!$M$5)</f>
        <v/>
      </c>
      <c r="C645" s="23" t="str">
        <f>IF(A645="","",字段母版!$S$5)</f>
        <v/>
      </c>
      <c r="D645" s="23" t="str">
        <f t="shared" ref="D645:D676" si="16">IF(A645="","","已声称映射但缺 v4 证据路径")</f>
        <v/>
      </c>
    </row>
    <row r="646" spans="1:7" x14ac:dyDescent="0.25">
      <c r="A646" s="24" t="str">
        <f>IF(AND(OR(字段母版!$N$6&lt;&gt;"",字段母版!$O$6&lt;&gt;"",字段母版!$P$6&lt;&gt;"",字段母版!$Q$6&lt;&gt;""),字段母版!$R$6=""),字段母版!$A$6,"")</f>
        <v/>
      </c>
      <c r="B646" s="24" t="str">
        <f>IF(A646="","",字段母版!$M$6)</f>
        <v/>
      </c>
      <c r="C646" s="24" t="str">
        <f>IF(A646="","",字段母版!$S$6)</f>
        <v/>
      </c>
      <c r="D646" s="24" t="str">
        <f t="shared" si="16"/>
        <v/>
      </c>
    </row>
    <row r="647" spans="1:7" x14ac:dyDescent="0.25">
      <c r="A647" s="24" t="str">
        <f>IF(AND(OR(字段母版!$N$7&lt;&gt;"",字段母版!$O$7&lt;&gt;"",字段母版!$P$7&lt;&gt;"",字段母版!$Q$7&lt;&gt;""),字段母版!$R$7=""),字段母版!$A$7,"")</f>
        <v/>
      </c>
      <c r="B647" s="24" t="str">
        <f>IF(A647="","",字段母版!$M$7)</f>
        <v/>
      </c>
      <c r="C647" s="24" t="str">
        <f>IF(A647="","",字段母版!$S$7)</f>
        <v/>
      </c>
      <c r="D647" s="24" t="str">
        <f t="shared" si="16"/>
        <v/>
      </c>
    </row>
    <row r="648" spans="1:7" x14ac:dyDescent="0.25">
      <c r="A648" s="24" t="str">
        <f>IF(AND(OR(字段母版!$N$8&lt;&gt;"",字段母版!$O$8&lt;&gt;"",字段母版!$P$8&lt;&gt;"",字段母版!$Q$8&lt;&gt;""),字段母版!$R$8=""),字段母版!$A$8,"")</f>
        <v/>
      </c>
      <c r="B648" s="24" t="str">
        <f>IF(A648="","",字段母版!$M$8)</f>
        <v/>
      </c>
      <c r="C648" s="24" t="str">
        <f>IF(A648="","",字段母版!$S$8)</f>
        <v/>
      </c>
      <c r="D648" s="24" t="str">
        <f t="shared" si="16"/>
        <v/>
      </c>
    </row>
    <row r="649" spans="1:7" x14ac:dyDescent="0.25">
      <c r="A649" s="24" t="str">
        <f>IF(AND(OR(字段母版!$N$9&lt;&gt;"",字段母版!$O$9&lt;&gt;"",字段母版!$P$9&lt;&gt;"",字段母版!$Q$9&lt;&gt;""),字段母版!$R$9=""),字段母版!$A$9,"")</f>
        <v/>
      </c>
      <c r="B649" s="24" t="str">
        <f>IF(A649="","",字段母版!$M$9)</f>
        <v/>
      </c>
      <c r="C649" s="24" t="str">
        <f>IF(A649="","",字段母版!$S$9)</f>
        <v/>
      </c>
      <c r="D649" s="24" t="str">
        <f t="shared" si="16"/>
        <v/>
      </c>
    </row>
    <row r="650" spans="1:7" x14ac:dyDescent="0.25">
      <c r="A650" s="24" t="str">
        <f>IF(AND(OR(字段母版!$N$10&lt;&gt;"",字段母版!$O$10&lt;&gt;"",字段母版!$P$10&lt;&gt;"",字段母版!$Q$10&lt;&gt;""),字段母版!$R$10=""),字段母版!$A$10,"")</f>
        <v/>
      </c>
      <c r="B650" s="24" t="str">
        <f>IF(A650="","",字段母版!$M$10)</f>
        <v/>
      </c>
      <c r="C650" s="24" t="str">
        <f>IF(A650="","",字段母版!$S$10)</f>
        <v/>
      </c>
      <c r="D650" s="24" t="str">
        <f t="shared" si="16"/>
        <v/>
      </c>
    </row>
    <row r="651" spans="1:7" x14ac:dyDescent="0.25">
      <c r="A651" s="24" t="str">
        <f>IF(AND(OR(字段母版!$N$11&lt;&gt;"",字段母版!$O$11&lt;&gt;"",字段母版!$P$11&lt;&gt;"",字段母版!$Q$11&lt;&gt;""),字段母版!$R$11=""),字段母版!$A$11,"")</f>
        <v/>
      </c>
      <c r="B651" s="24" t="str">
        <f>IF(A651="","",字段母版!$M$11)</f>
        <v/>
      </c>
      <c r="C651" s="24" t="str">
        <f>IF(A651="","",字段母版!$S$11)</f>
        <v/>
      </c>
      <c r="D651" s="24" t="str">
        <f t="shared" si="16"/>
        <v/>
      </c>
    </row>
    <row r="652" spans="1:7" x14ac:dyDescent="0.25">
      <c r="A652" s="24" t="str">
        <f>IF(AND(OR(字段母版!$N$12&lt;&gt;"",字段母版!$O$12&lt;&gt;"",字段母版!$P$12&lt;&gt;"",字段母版!$Q$12&lt;&gt;""),字段母版!$R$12=""),字段母版!$A$12,"")</f>
        <v/>
      </c>
      <c r="B652" s="24" t="str">
        <f>IF(A652="","",字段母版!$M$12)</f>
        <v/>
      </c>
      <c r="C652" s="24" t="str">
        <f>IF(A652="","",字段母版!$S$12)</f>
        <v/>
      </c>
      <c r="D652" s="24" t="str">
        <f t="shared" si="16"/>
        <v/>
      </c>
    </row>
    <row r="653" spans="1:7" x14ac:dyDescent="0.25">
      <c r="A653" s="24" t="str">
        <f>IF(AND(OR(字段母版!$N$13&lt;&gt;"",字段母版!$O$13&lt;&gt;"",字段母版!$P$13&lt;&gt;"",字段母版!$Q$13&lt;&gt;""),字段母版!$R$13=""),字段母版!$A$13,"")</f>
        <v/>
      </c>
      <c r="B653" s="24" t="str">
        <f>IF(A653="","",字段母版!$M$13)</f>
        <v/>
      </c>
      <c r="C653" s="24" t="str">
        <f>IF(A653="","",字段母版!$S$13)</f>
        <v/>
      </c>
      <c r="D653" s="24" t="str">
        <f t="shared" si="16"/>
        <v/>
      </c>
    </row>
    <row r="654" spans="1:7" x14ac:dyDescent="0.25">
      <c r="A654" s="24" t="str">
        <f>IF(AND(OR(字段母版!$N$14&lt;&gt;"",字段母版!$O$14&lt;&gt;"",字段母版!$P$14&lt;&gt;"",字段母版!$Q$14&lt;&gt;""),字段母版!$R$14=""),字段母版!$A$14,"")</f>
        <v/>
      </c>
      <c r="B654" s="24" t="str">
        <f>IF(A654="","",字段母版!$M$14)</f>
        <v/>
      </c>
      <c r="C654" s="24" t="str">
        <f>IF(A654="","",字段母版!$S$14)</f>
        <v/>
      </c>
      <c r="D654" s="24" t="str">
        <f t="shared" si="16"/>
        <v/>
      </c>
    </row>
    <row r="655" spans="1:7" x14ac:dyDescent="0.25">
      <c r="A655" s="24" t="str">
        <f>IF(AND(OR(字段母版!$N$15&lt;&gt;"",字段母版!$O$15&lt;&gt;"",字段母版!$P$15&lt;&gt;"",字段母版!$Q$15&lt;&gt;""),字段母版!$R$15=""),字段母版!$A$15,"")</f>
        <v/>
      </c>
      <c r="B655" s="24" t="str">
        <f>IF(A655="","",字段母版!$M$15)</f>
        <v/>
      </c>
      <c r="C655" s="24" t="str">
        <f>IF(A655="","",字段母版!$S$15)</f>
        <v/>
      </c>
      <c r="D655" s="24" t="str">
        <f t="shared" si="16"/>
        <v/>
      </c>
    </row>
    <row r="656" spans="1:7" x14ac:dyDescent="0.25">
      <c r="A656" s="24" t="str">
        <f>IF(AND(OR(字段母版!$N$16&lt;&gt;"",字段母版!$O$16&lt;&gt;"",字段母版!$P$16&lt;&gt;"",字段母版!$Q$16&lt;&gt;""),字段母版!$R$16=""),字段母版!$A$16,"")</f>
        <v/>
      </c>
      <c r="B656" s="24" t="str">
        <f>IF(A656="","",字段母版!$M$16)</f>
        <v/>
      </c>
      <c r="C656" s="24" t="str">
        <f>IF(A656="","",字段母版!$S$16)</f>
        <v/>
      </c>
      <c r="D656" s="24" t="str">
        <f t="shared" si="16"/>
        <v/>
      </c>
    </row>
    <row r="657" spans="1:4" x14ac:dyDescent="0.25">
      <c r="A657" s="24" t="str">
        <f>IF(AND(OR(字段母版!$N$17&lt;&gt;"",字段母版!$O$17&lt;&gt;"",字段母版!$P$17&lt;&gt;"",字段母版!$Q$17&lt;&gt;""),字段母版!$R$17=""),字段母版!$A$17,"")</f>
        <v/>
      </c>
      <c r="B657" s="24" t="str">
        <f>IF(A657="","",字段母版!$M$17)</f>
        <v/>
      </c>
      <c r="C657" s="24" t="str">
        <f>IF(A657="","",字段母版!$S$17)</f>
        <v/>
      </c>
      <c r="D657" s="24" t="str">
        <f t="shared" si="16"/>
        <v/>
      </c>
    </row>
    <row r="658" spans="1:4" x14ac:dyDescent="0.25">
      <c r="A658" s="24" t="str">
        <f>IF(AND(OR(字段母版!$N$18&lt;&gt;"",字段母版!$O$18&lt;&gt;"",字段母版!$P$18&lt;&gt;"",字段母版!$Q$18&lt;&gt;""),字段母版!$R$18=""),字段母版!$A$18,"")</f>
        <v/>
      </c>
      <c r="B658" s="24" t="str">
        <f>IF(A658="","",字段母版!$M$18)</f>
        <v/>
      </c>
      <c r="C658" s="24" t="str">
        <f>IF(A658="","",字段母版!$S$18)</f>
        <v/>
      </c>
      <c r="D658" s="24" t="str">
        <f t="shared" si="16"/>
        <v/>
      </c>
    </row>
    <row r="659" spans="1:4" x14ac:dyDescent="0.25">
      <c r="A659" s="24" t="str">
        <f>IF(AND(OR(字段母版!$N$19&lt;&gt;"",字段母版!$O$19&lt;&gt;"",字段母版!$P$19&lt;&gt;"",字段母版!$Q$19&lt;&gt;""),字段母版!$R$19=""),字段母版!$A$19,"")</f>
        <v/>
      </c>
      <c r="B659" s="24" t="str">
        <f>IF(A659="","",字段母版!$M$19)</f>
        <v/>
      </c>
      <c r="C659" s="24" t="str">
        <f>IF(A659="","",字段母版!$S$19)</f>
        <v/>
      </c>
      <c r="D659" s="24" t="str">
        <f t="shared" si="16"/>
        <v/>
      </c>
    </row>
    <row r="660" spans="1:4" x14ac:dyDescent="0.25">
      <c r="A660" s="24" t="str">
        <f>IF(AND(OR(字段母版!$N$20&lt;&gt;"",字段母版!$O$20&lt;&gt;"",字段母版!$P$20&lt;&gt;"",字段母版!$Q$20&lt;&gt;""),字段母版!$R$20=""),字段母版!$A$20,"")</f>
        <v/>
      </c>
      <c r="B660" s="24" t="str">
        <f>IF(A660="","",字段母版!$M$20)</f>
        <v/>
      </c>
      <c r="C660" s="24" t="str">
        <f>IF(A660="","",字段母版!$S$20)</f>
        <v/>
      </c>
      <c r="D660" s="24" t="str">
        <f t="shared" si="16"/>
        <v/>
      </c>
    </row>
    <row r="661" spans="1:4" x14ac:dyDescent="0.25">
      <c r="A661" s="24" t="str">
        <f>IF(AND(OR(字段母版!$N$21&lt;&gt;"",字段母版!$O$21&lt;&gt;"",字段母版!$P$21&lt;&gt;"",字段母版!$Q$21&lt;&gt;""),字段母版!$R$21=""),字段母版!$A$21,"")</f>
        <v/>
      </c>
      <c r="B661" s="24" t="str">
        <f>IF(A661="","",字段母版!$M$21)</f>
        <v/>
      </c>
      <c r="C661" s="24" t="str">
        <f>IF(A661="","",字段母版!$S$21)</f>
        <v/>
      </c>
      <c r="D661" s="24" t="str">
        <f t="shared" si="16"/>
        <v/>
      </c>
    </row>
    <row r="662" spans="1:4" x14ac:dyDescent="0.25">
      <c r="A662" s="24" t="str">
        <f>IF(AND(OR(字段母版!$N$22&lt;&gt;"",字段母版!$O$22&lt;&gt;"",字段母版!$P$22&lt;&gt;"",字段母版!$Q$22&lt;&gt;""),字段母版!$R$22=""),字段母版!$A$22,"")</f>
        <v/>
      </c>
      <c r="B662" s="24" t="str">
        <f>IF(A662="","",字段母版!$M$22)</f>
        <v/>
      </c>
      <c r="C662" s="24" t="str">
        <f>IF(A662="","",字段母版!$S$22)</f>
        <v/>
      </c>
      <c r="D662" s="24" t="str">
        <f t="shared" si="16"/>
        <v/>
      </c>
    </row>
    <row r="663" spans="1:4" x14ac:dyDescent="0.25">
      <c r="A663" s="24" t="str">
        <f>IF(AND(OR(字段母版!$N$23&lt;&gt;"",字段母版!$O$23&lt;&gt;"",字段母版!$P$23&lt;&gt;"",字段母版!$Q$23&lt;&gt;""),字段母版!$R$23=""),字段母版!$A$23,"")</f>
        <v/>
      </c>
      <c r="B663" s="24" t="str">
        <f>IF(A663="","",字段母版!$M$23)</f>
        <v/>
      </c>
      <c r="C663" s="24" t="str">
        <f>IF(A663="","",字段母版!$S$23)</f>
        <v/>
      </c>
      <c r="D663" s="24" t="str">
        <f t="shared" si="16"/>
        <v/>
      </c>
    </row>
    <row r="664" spans="1:4" x14ac:dyDescent="0.25">
      <c r="A664" s="24" t="str">
        <f>IF(AND(OR(字段母版!$N$24&lt;&gt;"",字段母版!$O$24&lt;&gt;"",字段母版!$P$24&lt;&gt;"",字段母版!$Q$24&lt;&gt;""),字段母版!$R$24=""),字段母版!$A$24,"")</f>
        <v/>
      </c>
      <c r="B664" s="24" t="str">
        <f>IF(A664="","",字段母版!$M$24)</f>
        <v/>
      </c>
      <c r="C664" s="24" t="str">
        <f>IF(A664="","",字段母版!$S$24)</f>
        <v/>
      </c>
      <c r="D664" s="24" t="str">
        <f t="shared" si="16"/>
        <v/>
      </c>
    </row>
    <row r="665" spans="1:4" x14ac:dyDescent="0.25">
      <c r="A665" s="24" t="str">
        <f>IF(AND(OR(字段母版!$N$25&lt;&gt;"",字段母版!$O$25&lt;&gt;"",字段母版!$P$25&lt;&gt;"",字段母版!$Q$25&lt;&gt;""),字段母版!$R$25=""),字段母版!$A$25,"")</f>
        <v/>
      </c>
      <c r="B665" s="24" t="str">
        <f>IF(A665="","",字段母版!$M$25)</f>
        <v/>
      </c>
      <c r="C665" s="24" t="str">
        <f>IF(A665="","",字段母版!$S$25)</f>
        <v/>
      </c>
      <c r="D665" s="24" t="str">
        <f t="shared" si="16"/>
        <v/>
      </c>
    </row>
    <row r="666" spans="1:4" x14ac:dyDescent="0.25">
      <c r="A666" s="24" t="str">
        <f>IF(AND(OR(字段母版!$N$26&lt;&gt;"",字段母版!$O$26&lt;&gt;"",字段母版!$P$26&lt;&gt;"",字段母版!$Q$26&lt;&gt;""),字段母版!$R$26=""),字段母版!$A$26,"")</f>
        <v/>
      </c>
      <c r="B666" s="24" t="str">
        <f>IF(A666="","",字段母版!$M$26)</f>
        <v/>
      </c>
      <c r="C666" s="24" t="str">
        <f>IF(A666="","",字段母版!$S$26)</f>
        <v/>
      </c>
      <c r="D666" s="24" t="str">
        <f t="shared" si="16"/>
        <v/>
      </c>
    </row>
    <row r="667" spans="1:4" x14ac:dyDescent="0.25">
      <c r="A667" s="24" t="str">
        <f>IF(AND(OR(字段母版!$N$27&lt;&gt;"",字段母版!$O$27&lt;&gt;"",字段母版!$P$27&lt;&gt;"",字段母版!$Q$27&lt;&gt;""),字段母版!$R$27=""),字段母版!$A$27,"")</f>
        <v/>
      </c>
      <c r="B667" s="24" t="str">
        <f>IF(A667="","",字段母版!$M$27)</f>
        <v/>
      </c>
      <c r="C667" s="24" t="str">
        <f>IF(A667="","",字段母版!$S$27)</f>
        <v/>
      </c>
      <c r="D667" s="24" t="str">
        <f t="shared" si="16"/>
        <v/>
      </c>
    </row>
    <row r="668" spans="1:4" x14ac:dyDescent="0.25">
      <c r="A668" s="24" t="str">
        <f>IF(AND(OR(字段母版!$N$28&lt;&gt;"",字段母版!$O$28&lt;&gt;"",字段母版!$P$28&lt;&gt;"",字段母版!$Q$28&lt;&gt;""),字段母版!$R$28=""),字段母版!$A$28,"")</f>
        <v/>
      </c>
      <c r="B668" s="24" t="str">
        <f>IF(A668="","",字段母版!$M$28)</f>
        <v/>
      </c>
      <c r="C668" s="24" t="str">
        <f>IF(A668="","",字段母版!$S$28)</f>
        <v/>
      </c>
      <c r="D668" s="24" t="str">
        <f t="shared" si="16"/>
        <v/>
      </c>
    </row>
    <row r="669" spans="1:4" x14ac:dyDescent="0.25">
      <c r="A669" s="24" t="str">
        <f>IF(AND(OR(字段母版!$N$29&lt;&gt;"",字段母版!$O$29&lt;&gt;"",字段母版!$P$29&lt;&gt;"",字段母版!$Q$29&lt;&gt;""),字段母版!$R$29=""),字段母版!$A$29,"")</f>
        <v/>
      </c>
      <c r="B669" s="24" t="str">
        <f>IF(A669="","",字段母版!$M$29)</f>
        <v/>
      </c>
      <c r="C669" s="24" t="str">
        <f>IF(A669="","",字段母版!$S$29)</f>
        <v/>
      </c>
      <c r="D669" s="24" t="str">
        <f t="shared" si="16"/>
        <v/>
      </c>
    </row>
    <row r="670" spans="1:4" x14ac:dyDescent="0.25">
      <c r="A670" s="24" t="str">
        <f>IF(AND(OR(字段母版!$N$30&lt;&gt;"",字段母版!$O$30&lt;&gt;"",字段母版!$P$30&lt;&gt;"",字段母版!$Q$30&lt;&gt;""),字段母版!$R$30=""),字段母版!$A$30,"")</f>
        <v/>
      </c>
      <c r="B670" s="24" t="str">
        <f>IF(A670="","",字段母版!$M$30)</f>
        <v/>
      </c>
      <c r="C670" s="24" t="str">
        <f>IF(A670="","",字段母版!$S$30)</f>
        <v/>
      </c>
      <c r="D670" s="24" t="str">
        <f t="shared" si="16"/>
        <v/>
      </c>
    </row>
    <row r="671" spans="1:4" x14ac:dyDescent="0.25">
      <c r="A671" s="24" t="str">
        <f>IF(AND(OR(字段母版!$N$31&lt;&gt;"",字段母版!$O$31&lt;&gt;"",字段母版!$P$31&lt;&gt;"",字段母版!$Q$31&lt;&gt;""),字段母版!$R$31=""),字段母版!$A$31,"")</f>
        <v/>
      </c>
      <c r="B671" s="24" t="str">
        <f>IF(A671="","",字段母版!$M$31)</f>
        <v/>
      </c>
      <c r="C671" s="24" t="str">
        <f>IF(A671="","",字段母版!$S$31)</f>
        <v/>
      </c>
      <c r="D671" s="24" t="str">
        <f t="shared" si="16"/>
        <v/>
      </c>
    </row>
    <row r="672" spans="1:4" x14ac:dyDescent="0.25">
      <c r="A672" s="24" t="str">
        <f>IF(AND(OR(字段母版!$N$32&lt;&gt;"",字段母版!$O$32&lt;&gt;"",字段母版!$P$32&lt;&gt;"",字段母版!$Q$32&lt;&gt;""),字段母版!$R$32=""),字段母版!$A$32,"")</f>
        <v/>
      </c>
      <c r="B672" s="24" t="str">
        <f>IF(A672="","",字段母版!$M$32)</f>
        <v/>
      </c>
      <c r="C672" s="24" t="str">
        <f>IF(A672="","",字段母版!$S$32)</f>
        <v/>
      </c>
      <c r="D672" s="24" t="str">
        <f t="shared" si="16"/>
        <v/>
      </c>
    </row>
    <row r="673" spans="1:4" x14ac:dyDescent="0.25">
      <c r="A673" s="24" t="str">
        <f>IF(AND(OR(字段母版!$N$33&lt;&gt;"",字段母版!$O$33&lt;&gt;"",字段母版!$P$33&lt;&gt;"",字段母版!$Q$33&lt;&gt;""),字段母版!$R$33=""),字段母版!$A$33,"")</f>
        <v/>
      </c>
      <c r="B673" s="24" t="str">
        <f>IF(A673="","",字段母版!$M$33)</f>
        <v/>
      </c>
      <c r="C673" s="24" t="str">
        <f>IF(A673="","",字段母版!$S$33)</f>
        <v/>
      </c>
      <c r="D673" s="24" t="str">
        <f t="shared" si="16"/>
        <v/>
      </c>
    </row>
    <row r="674" spans="1:4" x14ac:dyDescent="0.25">
      <c r="A674" s="24" t="str">
        <f>IF(AND(OR(字段母版!$N$34&lt;&gt;"",字段母版!$O$34&lt;&gt;"",字段母版!$P$34&lt;&gt;"",字段母版!$Q$34&lt;&gt;""),字段母版!$R$34=""),字段母版!$A$34,"")</f>
        <v/>
      </c>
      <c r="B674" s="24" t="str">
        <f>IF(A674="","",字段母版!$M$34)</f>
        <v/>
      </c>
      <c r="C674" s="24" t="str">
        <f>IF(A674="","",字段母版!$S$34)</f>
        <v/>
      </c>
      <c r="D674" s="24" t="str">
        <f t="shared" si="16"/>
        <v/>
      </c>
    </row>
    <row r="675" spans="1:4" x14ac:dyDescent="0.25">
      <c r="A675" s="24" t="str">
        <f>IF(AND(OR(字段母版!$N$35&lt;&gt;"",字段母版!$O$35&lt;&gt;"",字段母版!$P$35&lt;&gt;"",字段母版!$Q$35&lt;&gt;""),字段母版!$R$35=""),字段母版!$A$35,"")</f>
        <v/>
      </c>
      <c r="B675" s="24" t="str">
        <f>IF(A675="","",字段母版!$M$35)</f>
        <v/>
      </c>
      <c r="C675" s="24" t="str">
        <f>IF(A675="","",字段母版!$S$35)</f>
        <v/>
      </c>
      <c r="D675" s="24" t="str">
        <f t="shared" si="16"/>
        <v/>
      </c>
    </row>
    <row r="676" spans="1:4" x14ac:dyDescent="0.25">
      <c r="A676" s="24" t="str">
        <f>IF(AND(OR(字段母版!$N$36&lt;&gt;"",字段母版!$O$36&lt;&gt;"",字段母版!$P$36&lt;&gt;"",字段母版!$Q$36&lt;&gt;""),字段母版!$R$36=""),字段母版!$A$36,"")</f>
        <v/>
      </c>
      <c r="B676" s="24" t="str">
        <f>IF(A676="","",字段母版!$M$36)</f>
        <v/>
      </c>
      <c r="C676" s="24" t="str">
        <f>IF(A676="","",字段母版!$S$36)</f>
        <v/>
      </c>
      <c r="D676" s="24" t="str">
        <f t="shared" si="16"/>
        <v/>
      </c>
    </row>
    <row r="677" spans="1:4" x14ac:dyDescent="0.25">
      <c r="A677" s="24" t="str">
        <f>IF(AND(OR(字段母版!$N$37&lt;&gt;"",字段母版!$O$37&lt;&gt;"",字段母版!$P$37&lt;&gt;"",字段母版!$Q$37&lt;&gt;""),字段母版!$R$37=""),字段母版!$A$37,"")</f>
        <v/>
      </c>
      <c r="B677" s="24" t="str">
        <f>IF(A677="","",字段母版!$M$37)</f>
        <v/>
      </c>
      <c r="C677" s="24" t="str">
        <f>IF(A677="","",字段母版!$S$37)</f>
        <v/>
      </c>
      <c r="D677" s="24" t="str">
        <f t="shared" ref="D677:D708" si="17">IF(A677="","","已声称映射但缺 v4 证据路径")</f>
        <v/>
      </c>
    </row>
    <row r="678" spans="1:4" x14ac:dyDescent="0.25">
      <c r="A678" s="24" t="str">
        <f>IF(AND(OR(字段母版!$N$38&lt;&gt;"",字段母版!$O$38&lt;&gt;"",字段母版!$P$38&lt;&gt;"",字段母版!$Q$38&lt;&gt;""),字段母版!$R$38=""),字段母版!$A$38,"")</f>
        <v/>
      </c>
      <c r="B678" s="24" t="str">
        <f>IF(A678="","",字段母版!$M$38)</f>
        <v/>
      </c>
      <c r="C678" s="24" t="str">
        <f>IF(A678="","",字段母版!$S$38)</f>
        <v/>
      </c>
      <c r="D678" s="24" t="str">
        <f t="shared" si="17"/>
        <v/>
      </c>
    </row>
    <row r="679" spans="1:4" x14ac:dyDescent="0.25">
      <c r="A679" s="24" t="str">
        <f>IF(AND(OR(字段母版!$N$39&lt;&gt;"",字段母版!$O$39&lt;&gt;"",字段母版!$P$39&lt;&gt;"",字段母版!$Q$39&lt;&gt;""),字段母版!$R$39=""),字段母版!$A$39,"")</f>
        <v/>
      </c>
      <c r="B679" s="24" t="str">
        <f>IF(A679="","",字段母版!$M$39)</f>
        <v/>
      </c>
      <c r="C679" s="24" t="str">
        <f>IF(A679="","",字段母版!$S$39)</f>
        <v/>
      </c>
      <c r="D679" s="24" t="str">
        <f t="shared" si="17"/>
        <v/>
      </c>
    </row>
    <row r="680" spans="1:4" x14ac:dyDescent="0.25">
      <c r="A680" s="24" t="str">
        <f>IF(AND(OR(字段母版!$N$40&lt;&gt;"",字段母版!$O$40&lt;&gt;"",字段母版!$P$40&lt;&gt;"",字段母版!$Q$40&lt;&gt;""),字段母版!$R$40=""),字段母版!$A$40,"")</f>
        <v/>
      </c>
      <c r="B680" s="24" t="str">
        <f>IF(A680="","",字段母版!$M$40)</f>
        <v/>
      </c>
      <c r="C680" s="24" t="str">
        <f>IF(A680="","",字段母版!$S$40)</f>
        <v/>
      </c>
      <c r="D680" s="24" t="str">
        <f t="shared" si="17"/>
        <v/>
      </c>
    </row>
    <row r="681" spans="1:4" x14ac:dyDescent="0.25">
      <c r="A681" s="24" t="str">
        <f>IF(AND(OR(字段母版!$N$41&lt;&gt;"",字段母版!$O$41&lt;&gt;"",字段母版!$P$41&lt;&gt;"",字段母版!$Q$41&lt;&gt;""),字段母版!$R$41=""),字段母版!$A$41,"")</f>
        <v/>
      </c>
      <c r="B681" s="24" t="str">
        <f>IF(A681="","",字段母版!$M$41)</f>
        <v/>
      </c>
      <c r="C681" s="24" t="str">
        <f>IF(A681="","",字段母版!$S$41)</f>
        <v/>
      </c>
      <c r="D681" s="24" t="str">
        <f t="shared" si="17"/>
        <v/>
      </c>
    </row>
    <row r="682" spans="1:4" x14ac:dyDescent="0.25">
      <c r="A682" s="24" t="str">
        <f>IF(AND(OR(字段母版!$N$42&lt;&gt;"",字段母版!$O$42&lt;&gt;"",字段母版!$P$42&lt;&gt;"",字段母版!$Q$42&lt;&gt;""),字段母版!$R$42=""),字段母版!$A$42,"")</f>
        <v/>
      </c>
      <c r="B682" s="24" t="str">
        <f>IF(A682="","",字段母版!$M$42)</f>
        <v/>
      </c>
      <c r="C682" s="24" t="str">
        <f>IF(A682="","",字段母版!$S$42)</f>
        <v/>
      </c>
      <c r="D682" s="24" t="str">
        <f t="shared" si="17"/>
        <v/>
      </c>
    </row>
    <row r="683" spans="1:4" x14ac:dyDescent="0.25">
      <c r="A683" s="24" t="str">
        <f>IF(AND(OR(字段母版!$N$43&lt;&gt;"",字段母版!$O$43&lt;&gt;"",字段母版!$P$43&lt;&gt;"",字段母版!$Q$43&lt;&gt;""),字段母版!$R$43=""),字段母版!$A$43,"")</f>
        <v/>
      </c>
      <c r="B683" s="24" t="str">
        <f>IF(A683="","",字段母版!$M$43)</f>
        <v/>
      </c>
      <c r="C683" s="24" t="str">
        <f>IF(A683="","",字段母版!$S$43)</f>
        <v/>
      </c>
      <c r="D683" s="24" t="str">
        <f t="shared" si="17"/>
        <v/>
      </c>
    </row>
    <row r="684" spans="1:4" x14ac:dyDescent="0.25">
      <c r="A684" s="24" t="str">
        <f>IF(AND(OR(字段母版!$N$44&lt;&gt;"",字段母版!$O$44&lt;&gt;"",字段母版!$P$44&lt;&gt;"",字段母版!$Q$44&lt;&gt;""),字段母版!$R$44=""),字段母版!$A$44,"")</f>
        <v/>
      </c>
      <c r="B684" s="24" t="str">
        <f>IF(A684="","",字段母版!$M$44)</f>
        <v/>
      </c>
      <c r="C684" s="24" t="str">
        <f>IF(A684="","",字段母版!$S$44)</f>
        <v/>
      </c>
      <c r="D684" s="24" t="str">
        <f t="shared" si="17"/>
        <v/>
      </c>
    </row>
    <row r="685" spans="1:4" x14ac:dyDescent="0.25">
      <c r="A685" s="24" t="str">
        <f>IF(AND(OR(字段母版!$N$45&lt;&gt;"",字段母版!$O$45&lt;&gt;"",字段母版!$P$45&lt;&gt;"",字段母版!$Q$45&lt;&gt;""),字段母版!$R$45=""),字段母版!$A$45,"")</f>
        <v/>
      </c>
      <c r="B685" s="24" t="str">
        <f>IF(A685="","",字段母版!$M$45)</f>
        <v/>
      </c>
      <c r="C685" s="24" t="str">
        <f>IF(A685="","",字段母版!$S$45)</f>
        <v/>
      </c>
      <c r="D685" s="24" t="str">
        <f t="shared" si="17"/>
        <v/>
      </c>
    </row>
    <row r="686" spans="1:4" x14ac:dyDescent="0.25">
      <c r="A686" s="24" t="str">
        <f>IF(AND(OR(字段母版!$N$46&lt;&gt;"",字段母版!$O$46&lt;&gt;"",字段母版!$P$46&lt;&gt;"",字段母版!$Q$46&lt;&gt;""),字段母版!$R$46=""),字段母版!$A$46,"")</f>
        <v/>
      </c>
      <c r="B686" s="24" t="str">
        <f>IF(A686="","",字段母版!$M$46)</f>
        <v/>
      </c>
      <c r="C686" s="24" t="str">
        <f>IF(A686="","",字段母版!$S$46)</f>
        <v/>
      </c>
      <c r="D686" s="24" t="str">
        <f t="shared" si="17"/>
        <v/>
      </c>
    </row>
    <row r="687" spans="1:4" x14ac:dyDescent="0.25">
      <c r="A687" s="24" t="str">
        <f>IF(AND(OR(字段母版!$N$47&lt;&gt;"",字段母版!$O$47&lt;&gt;"",字段母版!$P$47&lt;&gt;"",字段母版!$Q$47&lt;&gt;""),字段母版!$R$47=""),字段母版!$A$47,"")</f>
        <v/>
      </c>
      <c r="B687" s="24" t="str">
        <f>IF(A687="","",字段母版!$M$47)</f>
        <v/>
      </c>
      <c r="C687" s="24" t="str">
        <f>IF(A687="","",字段母版!$S$47)</f>
        <v/>
      </c>
      <c r="D687" s="24" t="str">
        <f t="shared" si="17"/>
        <v/>
      </c>
    </row>
    <row r="688" spans="1:4" x14ac:dyDescent="0.25">
      <c r="A688" s="24" t="str">
        <f>IF(AND(OR(字段母版!$N$48&lt;&gt;"",字段母版!$O$48&lt;&gt;"",字段母版!$P$48&lt;&gt;"",字段母版!$Q$48&lt;&gt;""),字段母版!$R$48=""),字段母版!$A$48,"")</f>
        <v/>
      </c>
      <c r="B688" s="24" t="str">
        <f>IF(A688="","",字段母版!$M$48)</f>
        <v/>
      </c>
      <c r="C688" s="24" t="str">
        <f>IF(A688="","",字段母版!$S$48)</f>
        <v/>
      </c>
      <c r="D688" s="24" t="str">
        <f t="shared" si="17"/>
        <v/>
      </c>
    </row>
    <row r="689" spans="1:4" x14ac:dyDescent="0.25">
      <c r="A689" s="24" t="str">
        <f>IF(AND(OR(字段母版!$N$49&lt;&gt;"",字段母版!$O$49&lt;&gt;"",字段母版!$P$49&lt;&gt;"",字段母版!$Q$49&lt;&gt;""),字段母版!$R$49=""),字段母版!$A$49,"")</f>
        <v/>
      </c>
      <c r="B689" s="24" t="str">
        <f>IF(A689="","",字段母版!$M$49)</f>
        <v/>
      </c>
      <c r="C689" s="24" t="str">
        <f>IF(A689="","",字段母版!$S$49)</f>
        <v/>
      </c>
      <c r="D689" s="24" t="str">
        <f t="shared" si="17"/>
        <v/>
      </c>
    </row>
    <row r="690" spans="1:4" x14ac:dyDescent="0.25">
      <c r="A690" s="24" t="str">
        <f>IF(AND(OR(字段母版!$N$50&lt;&gt;"",字段母版!$O$50&lt;&gt;"",字段母版!$P$50&lt;&gt;"",字段母版!$Q$50&lt;&gt;""),字段母版!$R$50=""),字段母版!$A$50,"")</f>
        <v/>
      </c>
      <c r="B690" s="24" t="str">
        <f>IF(A690="","",字段母版!$M$50)</f>
        <v/>
      </c>
      <c r="C690" s="24" t="str">
        <f>IF(A690="","",字段母版!$S$50)</f>
        <v/>
      </c>
      <c r="D690" s="24" t="str">
        <f t="shared" si="17"/>
        <v/>
      </c>
    </row>
    <row r="691" spans="1:4" x14ac:dyDescent="0.25">
      <c r="A691" s="24" t="str">
        <f>IF(AND(OR(字段母版!$N$51&lt;&gt;"",字段母版!$O$51&lt;&gt;"",字段母版!$P$51&lt;&gt;"",字段母版!$Q$51&lt;&gt;""),字段母版!$R$51=""),字段母版!$A$51,"")</f>
        <v/>
      </c>
      <c r="B691" s="24" t="str">
        <f>IF(A691="","",字段母版!$M$51)</f>
        <v/>
      </c>
      <c r="C691" s="24" t="str">
        <f>IF(A691="","",字段母版!$S$51)</f>
        <v/>
      </c>
      <c r="D691" s="24" t="str">
        <f t="shared" si="17"/>
        <v/>
      </c>
    </row>
    <row r="692" spans="1:4" x14ac:dyDescent="0.25">
      <c r="A692" s="24" t="str">
        <f>IF(AND(OR(字段母版!$N$52&lt;&gt;"",字段母版!$O$52&lt;&gt;"",字段母版!$P$52&lt;&gt;"",字段母版!$Q$52&lt;&gt;""),字段母版!$R$52=""),字段母版!$A$52,"")</f>
        <v/>
      </c>
      <c r="B692" s="24" t="str">
        <f>IF(A692="","",字段母版!$M$52)</f>
        <v/>
      </c>
      <c r="C692" s="24" t="str">
        <f>IF(A692="","",字段母版!$S$52)</f>
        <v/>
      </c>
      <c r="D692" s="24" t="str">
        <f t="shared" si="17"/>
        <v/>
      </c>
    </row>
    <row r="693" spans="1:4" x14ac:dyDescent="0.25">
      <c r="A693" s="24" t="str">
        <f>IF(AND(OR(字段母版!$N$53&lt;&gt;"",字段母版!$O$53&lt;&gt;"",字段母版!$P$53&lt;&gt;"",字段母版!$Q$53&lt;&gt;""),字段母版!$R$53=""),字段母版!$A$53,"")</f>
        <v/>
      </c>
      <c r="B693" s="24" t="str">
        <f>IF(A693="","",字段母版!$M$53)</f>
        <v/>
      </c>
      <c r="C693" s="24" t="str">
        <f>IF(A693="","",字段母版!$S$53)</f>
        <v/>
      </c>
      <c r="D693" s="24" t="str">
        <f t="shared" si="17"/>
        <v/>
      </c>
    </row>
    <row r="694" spans="1:4" x14ac:dyDescent="0.25">
      <c r="A694" s="24" t="str">
        <f>IF(AND(OR(字段母版!$N$54&lt;&gt;"",字段母版!$O$54&lt;&gt;"",字段母版!$P$54&lt;&gt;"",字段母版!$Q$54&lt;&gt;""),字段母版!$R$54=""),字段母版!$A$54,"")</f>
        <v/>
      </c>
      <c r="B694" s="24" t="str">
        <f>IF(A694="","",字段母版!$M$54)</f>
        <v/>
      </c>
      <c r="C694" s="24" t="str">
        <f>IF(A694="","",字段母版!$S$54)</f>
        <v/>
      </c>
      <c r="D694" s="24" t="str">
        <f t="shared" si="17"/>
        <v/>
      </c>
    </row>
    <row r="695" spans="1:4" x14ac:dyDescent="0.25">
      <c r="A695" s="24" t="str">
        <f>IF(AND(OR(字段母版!$N$55&lt;&gt;"",字段母版!$O$55&lt;&gt;"",字段母版!$P$55&lt;&gt;"",字段母版!$Q$55&lt;&gt;""),字段母版!$R$55=""),字段母版!$A$55,"")</f>
        <v/>
      </c>
      <c r="B695" s="24" t="str">
        <f>IF(A695="","",字段母版!$M$55)</f>
        <v/>
      </c>
      <c r="C695" s="24" t="str">
        <f>IF(A695="","",字段母版!$S$55)</f>
        <v/>
      </c>
      <c r="D695" s="24" t="str">
        <f t="shared" si="17"/>
        <v/>
      </c>
    </row>
    <row r="696" spans="1:4" x14ac:dyDescent="0.25">
      <c r="A696" s="24" t="str">
        <f>IF(AND(OR(字段母版!$N$56&lt;&gt;"",字段母版!$O$56&lt;&gt;"",字段母版!$P$56&lt;&gt;"",字段母版!$Q$56&lt;&gt;""),字段母版!$R$56=""),字段母版!$A$56,"")</f>
        <v/>
      </c>
      <c r="B696" s="24" t="str">
        <f>IF(A696="","",字段母版!$M$56)</f>
        <v/>
      </c>
      <c r="C696" s="24" t="str">
        <f>IF(A696="","",字段母版!$S$56)</f>
        <v/>
      </c>
      <c r="D696" s="24" t="str">
        <f t="shared" si="17"/>
        <v/>
      </c>
    </row>
    <row r="697" spans="1:4" x14ac:dyDescent="0.25">
      <c r="A697" s="24" t="str">
        <f>IF(AND(OR(字段母版!$N$57&lt;&gt;"",字段母版!$O$57&lt;&gt;"",字段母版!$P$57&lt;&gt;"",字段母版!$Q$57&lt;&gt;""),字段母版!$R$57=""),字段母版!$A$57,"")</f>
        <v/>
      </c>
      <c r="B697" s="24" t="str">
        <f>IF(A697="","",字段母版!$M$57)</f>
        <v/>
      </c>
      <c r="C697" s="24" t="str">
        <f>IF(A697="","",字段母版!$S$57)</f>
        <v/>
      </c>
      <c r="D697" s="24" t="str">
        <f t="shared" si="17"/>
        <v/>
      </c>
    </row>
    <row r="698" spans="1:4" x14ac:dyDescent="0.25">
      <c r="A698" s="24" t="str">
        <f>IF(AND(OR(字段母版!$N$58&lt;&gt;"",字段母版!$O$58&lt;&gt;"",字段母版!$P$58&lt;&gt;"",字段母版!$Q$58&lt;&gt;""),字段母版!$R$58=""),字段母版!$A$58,"")</f>
        <v/>
      </c>
      <c r="B698" s="24" t="str">
        <f>IF(A698="","",字段母版!$M$58)</f>
        <v/>
      </c>
      <c r="C698" s="24" t="str">
        <f>IF(A698="","",字段母版!$S$58)</f>
        <v/>
      </c>
      <c r="D698" s="24" t="str">
        <f t="shared" si="17"/>
        <v/>
      </c>
    </row>
    <row r="699" spans="1:4" x14ac:dyDescent="0.25">
      <c r="A699" s="24" t="str">
        <f>IF(AND(OR(字段母版!$N$59&lt;&gt;"",字段母版!$O$59&lt;&gt;"",字段母版!$P$59&lt;&gt;"",字段母版!$Q$59&lt;&gt;""),字段母版!$R$59=""),字段母版!$A$59,"")</f>
        <v/>
      </c>
      <c r="B699" s="24" t="str">
        <f>IF(A699="","",字段母版!$M$59)</f>
        <v/>
      </c>
      <c r="C699" s="24" t="str">
        <f>IF(A699="","",字段母版!$S$59)</f>
        <v/>
      </c>
      <c r="D699" s="24" t="str">
        <f t="shared" si="17"/>
        <v/>
      </c>
    </row>
    <row r="700" spans="1:4" x14ac:dyDescent="0.25">
      <c r="A700" s="24" t="str">
        <f>IF(AND(OR(字段母版!$N$60&lt;&gt;"",字段母版!$O$60&lt;&gt;"",字段母版!$P$60&lt;&gt;"",字段母版!$Q$60&lt;&gt;""),字段母版!$R$60=""),字段母版!$A$60,"")</f>
        <v/>
      </c>
      <c r="B700" s="24" t="str">
        <f>IF(A700="","",字段母版!$M$60)</f>
        <v/>
      </c>
      <c r="C700" s="24" t="str">
        <f>IF(A700="","",字段母版!$S$60)</f>
        <v/>
      </c>
      <c r="D700" s="24" t="str">
        <f t="shared" si="17"/>
        <v/>
      </c>
    </row>
    <row r="701" spans="1:4" x14ac:dyDescent="0.25">
      <c r="A701" s="24" t="str">
        <f>IF(AND(OR(字段母版!$N$61&lt;&gt;"",字段母版!$O$61&lt;&gt;"",字段母版!$P$61&lt;&gt;"",字段母版!$Q$61&lt;&gt;""),字段母版!$R$61=""),字段母版!$A$61,"")</f>
        <v/>
      </c>
      <c r="B701" s="24" t="str">
        <f>IF(A701="","",字段母版!$M$61)</f>
        <v/>
      </c>
      <c r="C701" s="24" t="str">
        <f>IF(A701="","",字段母版!$S$61)</f>
        <v/>
      </c>
      <c r="D701" s="24" t="str">
        <f t="shared" si="17"/>
        <v/>
      </c>
    </row>
    <row r="702" spans="1:4" x14ac:dyDescent="0.25">
      <c r="A702" s="24" t="str">
        <f>IF(AND(OR(字段母版!$N$62&lt;&gt;"",字段母版!$O$62&lt;&gt;"",字段母版!$P$62&lt;&gt;"",字段母版!$Q$62&lt;&gt;""),字段母版!$R$62=""),字段母版!$A$62,"")</f>
        <v/>
      </c>
      <c r="B702" s="24" t="str">
        <f>IF(A702="","",字段母版!$M$62)</f>
        <v/>
      </c>
      <c r="C702" s="24" t="str">
        <f>IF(A702="","",字段母版!$S$62)</f>
        <v/>
      </c>
      <c r="D702" s="24" t="str">
        <f t="shared" si="17"/>
        <v/>
      </c>
    </row>
    <row r="703" spans="1:4" x14ac:dyDescent="0.25">
      <c r="A703" s="24" t="str">
        <f>IF(AND(OR(字段母版!$N$63&lt;&gt;"",字段母版!$O$63&lt;&gt;"",字段母版!$P$63&lt;&gt;"",字段母版!$Q$63&lt;&gt;""),字段母版!$R$63=""),字段母版!$A$63,"")</f>
        <v/>
      </c>
      <c r="B703" s="24" t="str">
        <f>IF(A703="","",字段母版!$M$63)</f>
        <v/>
      </c>
      <c r="C703" s="24" t="str">
        <f>IF(A703="","",字段母版!$S$63)</f>
        <v/>
      </c>
      <c r="D703" s="24" t="str">
        <f t="shared" si="17"/>
        <v/>
      </c>
    </row>
    <row r="704" spans="1:4" x14ac:dyDescent="0.25">
      <c r="A704" s="24" t="str">
        <f>IF(AND(OR(字段母版!$N$64&lt;&gt;"",字段母版!$O$64&lt;&gt;"",字段母版!$P$64&lt;&gt;"",字段母版!$Q$64&lt;&gt;""),字段母版!$R$64=""),字段母版!$A$64,"")</f>
        <v/>
      </c>
      <c r="B704" s="24" t="str">
        <f>IF(A704="","",字段母版!$M$64)</f>
        <v/>
      </c>
      <c r="C704" s="24" t="str">
        <f>IF(A704="","",字段母版!$S$64)</f>
        <v/>
      </c>
      <c r="D704" s="24" t="str">
        <f t="shared" si="17"/>
        <v/>
      </c>
    </row>
    <row r="705" spans="1:4" x14ac:dyDescent="0.25">
      <c r="A705" s="24" t="str">
        <f>IF(AND(OR(字段母版!$N$65&lt;&gt;"",字段母版!$O$65&lt;&gt;"",字段母版!$P$65&lt;&gt;"",字段母版!$Q$65&lt;&gt;""),字段母版!$R$65=""),字段母版!$A$65,"")</f>
        <v/>
      </c>
      <c r="B705" s="24" t="str">
        <f>IF(A705="","",字段母版!$M$65)</f>
        <v/>
      </c>
      <c r="C705" s="24" t="str">
        <f>IF(A705="","",字段母版!$S$65)</f>
        <v/>
      </c>
      <c r="D705" s="24" t="str">
        <f t="shared" si="17"/>
        <v/>
      </c>
    </row>
    <row r="706" spans="1:4" x14ac:dyDescent="0.25">
      <c r="A706" s="24" t="str">
        <f>IF(AND(OR(字段母版!$N$66&lt;&gt;"",字段母版!$O$66&lt;&gt;"",字段母版!$P$66&lt;&gt;"",字段母版!$Q$66&lt;&gt;""),字段母版!$R$66=""),字段母版!$A$66,"")</f>
        <v/>
      </c>
      <c r="B706" s="24" t="str">
        <f>IF(A706="","",字段母版!$M$66)</f>
        <v/>
      </c>
      <c r="C706" s="24" t="str">
        <f>IF(A706="","",字段母版!$S$66)</f>
        <v/>
      </c>
      <c r="D706" s="24" t="str">
        <f t="shared" si="17"/>
        <v/>
      </c>
    </row>
    <row r="707" spans="1:4" x14ac:dyDescent="0.25">
      <c r="A707" s="24" t="str">
        <f>IF(AND(OR(字段母版!$N$67&lt;&gt;"",字段母版!$O$67&lt;&gt;"",字段母版!$P$67&lt;&gt;"",字段母版!$Q$67&lt;&gt;""),字段母版!$R$67=""),字段母版!$A$67,"")</f>
        <v/>
      </c>
      <c r="B707" s="24" t="str">
        <f>IF(A707="","",字段母版!$M$67)</f>
        <v/>
      </c>
      <c r="C707" s="24" t="str">
        <f>IF(A707="","",字段母版!$S$67)</f>
        <v/>
      </c>
      <c r="D707" s="24" t="str">
        <f t="shared" si="17"/>
        <v/>
      </c>
    </row>
    <row r="708" spans="1:4" x14ac:dyDescent="0.25">
      <c r="A708" s="24" t="str">
        <f>IF(AND(OR(字段母版!$N$68&lt;&gt;"",字段母版!$O$68&lt;&gt;"",字段母版!$P$68&lt;&gt;"",字段母版!$Q$68&lt;&gt;""),字段母版!$R$68=""),字段母版!$A$68,"")</f>
        <v/>
      </c>
      <c r="B708" s="24" t="str">
        <f>IF(A708="","",字段母版!$M$68)</f>
        <v/>
      </c>
      <c r="C708" s="24" t="str">
        <f>IF(A708="","",字段母版!$S$68)</f>
        <v/>
      </c>
      <c r="D708" s="24" t="str">
        <f t="shared" si="17"/>
        <v/>
      </c>
    </row>
    <row r="709" spans="1:4" x14ac:dyDescent="0.25">
      <c r="A709" s="24" t="str">
        <f>IF(AND(OR(字段母版!$N$69&lt;&gt;"",字段母版!$O$69&lt;&gt;"",字段母版!$P$69&lt;&gt;"",字段母版!$Q$69&lt;&gt;""),字段母版!$R$69=""),字段母版!$A$69,"")</f>
        <v/>
      </c>
      <c r="B709" s="24" t="str">
        <f>IF(A709="","",字段母版!$M$69)</f>
        <v/>
      </c>
      <c r="C709" s="24" t="str">
        <f>IF(A709="","",字段母版!$S$69)</f>
        <v/>
      </c>
      <c r="D709" s="24" t="str">
        <f t="shared" ref="D709:D740" si="18">IF(A709="","","已声称映射但缺 v4 证据路径")</f>
        <v/>
      </c>
    </row>
    <row r="710" spans="1:4" x14ac:dyDescent="0.25">
      <c r="A710" s="24" t="str">
        <f>IF(AND(OR(字段母版!$N$70&lt;&gt;"",字段母版!$O$70&lt;&gt;"",字段母版!$P$70&lt;&gt;"",字段母版!$Q$70&lt;&gt;""),字段母版!$R$70=""),字段母版!$A$70,"")</f>
        <v/>
      </c>
      <c r="B710" s="24" t="str">
        <f>IF(A710="","",字段母版!$M$70)</f>
        <v/>
      </c>
      <c r="C710" s="24" t="str">
        <f>IF(A710="","",字段母版!$S$70)</f>
        <v/>
      </c>
      <c r="D710" s="24" t="str">
        <f t="shared" si="18"/>
        <v/>
      </c>
    </row>
    <row r="711" spans="1:4" x14ac:dyDescent="0.25">
      <c r="A711" s="24" t="str">
        <f>IF(AND(OR(字段母版!$N$71&lt;&gt;"",字段母版!$O$71&lt;&gt;"",字段母版!$P$71&lt;&gt;"",字段母版!$Q$71&lt;&gt;""),字段母版!$R$71=""),字段母版!$A$71,"")</f>
        <v/>
      </c>
      <c r="B711" s="24" t="str">
        <f>IF(A711="","",字段母版!$M$71)</f>
        <v/>
      </c>
      <c r="C711" s="24" t="str">
        <f>IF(A711="","",字段母版!$S$71)</f>
        <v/>
      </c>
      <c r="D711" s="24" t="str">
        <f t="shared" si="18"/>
        <v/>
      </c>
    </row>
    <row r="712" spans="1:4" x14ac:dyDescent="0.25">
      <c r="A712" s="24" t="str">
        <f>IF(AND(OR(字段母版!$N$72&lt;&gt;"",字段母版!$O$72&lt;&gt;"",字段母版!$P$72&lt;&gt;"",字段母版!$Q$72&lt;&gt;""),字段母版!$R$72=""),字段母版!$A$72,"")</f>
        <v/>
      </c>
      <c r="B712" s="24" t="str">
        <f>IF(A712="","",字段母版!$M$72)</f>
        <v/>
      </c>
      <c r="C712" s="24" t="str">
        <f>IF(A712="","",字段母版!$S$72)</f>
        <v/>
      </c>
      <c r="D712" s="24" t="str">
        <f t="shared" si="18"/>
        <v/>
      </c>
    </row>
    <row r="713" spans="1:4" x14ac:dyDescent="0.25">
      <c r="A713" s="24" t="str">
        <f>IF(AND(OR(字段母版!$N$73&lt;&gt;"",字段母版!$O$73&lt;&gt;"",字段母版!$P$73&lt;&gt;"",字段母版!$Q$73&lt;&gt;""),字段母版!$R$73=""),字段母版!$A$73,"")</f>
        <v/>
      </c>
      <c r="B713" s="24" t="str">
        <f>IF(A713="","",字段母版!$M$73)</f>
        <v/>
      </c>
      <c r="C713" s="24" t="str">
        <f>IF(A713="","",字段母版!$S$73)</f>
        <v/>
      </c>
      <c r="D713" s="24" t="str">
        <f t="shared" si="18"/>
        <v/>
      </c>
    </row>
    <row r="714" spans="1:4" x14ac:dyDescent="0.25">
      <c r="A714" s="24" t="str">
        <f>IF(AND(OR(字段母版!$N$74&lt;&gt;"",字段母版!$O$74&lt;&gt;"",字段母版!$P$74&lt;&gt;"",字段母版!$Q$74&lt;&gt;""),字段母版!$R$74=""),字段母版!$A$74,"")</f>
        <v/>
      </c>
      <c r="B714" s="24" t="str">
        <f>IF(A714="","",字段母版!$M$74)</f>
        <v/>
      </c>
      <c r="C714" s="24" t="str">
        <f>IF(A714="","",字段母版!$S$74)</f>
        <v/>
      </c>
      <c r="D714" s="24" t="str">
        <f t="shared" si="18"/>
        <v/>
      </c>
    </row>
    <row r="715" spans="1:4" x14ac:dyDescent="0.25">
      <c r="A715" s="24" t="str">
        <f>IF(AND(OR(字段母版!$N$75&lt;&gt;"",字段母版!$O$75&lt;&gt;"",字段母版!$P$75&lt;&gt;"",字段母版!$Q$75&lt;&gt;""),字段母版!$R$75=""),字段母版!$A$75,"")</f>
        <v/>
      </c>
      <c r="B715" s="24" t="str">
        <f>IF(A715="","",字段母版!$M$75)</f>
        <v/>
      </c>
      <c r="C715" s="24" t="str">
        <f>IF(A715="","",字段母版!$S$75)</f>
        <v/>
      </c>
      <c r="D715" s="24" t="str">
        <f t="shared" si="18"/>
        <v/>
      </c>
    </row>
    <row r="716" spans="1:4" x14ac:dyDescent="0.25">
      <c r="A716" s="24" t="str">
        <f>IF(AND(OR(字段母版!$N$76&lt;&gt;"",字段母版!$O$76&lt;&gt;"",字段母版!$P$76&lt;&gt;"",字段母版!$Q$76&lt;&gt;""),字段母版!$R$76=""),字段母版!$A$76,"")</f>
        <v/>
      </c>
      <c r="B716" s="24" t="str">
        <f>IF(A716="","",字段母版!$M$76)</f>
        <v/>
      </c>
      <c r="C716" s="24" t="str">
        <f>IF(A716="","",字段母版!$S$76)</f>
        <v/>
      </c>
      <c r="D716" s="24" t="str">
        <f t="shared" si="18"/>
        <v/>
      </c>
    </row>
    <row r="717" spans="1:4" x14ac:dyDescent="0.25">
      <c r="A717" s="24" t="str">
        <f>IF(AND(OR(字段母版!$N$77&lt;&gt;"",字段母版!$O$77&lt;&gt;"",字段母版!$P$77&lt;&gt;"",字段母版!$Q$77&lt;&gt;""),字段母版!$R$77=""),字段母版!$A$77,"")</f>
        <v/>
      </c>
      <c r="B717" s="24" t="str">
        <f>IF(A717="","",字段母版!$M$77)</f>
        <v/>
      </c>
      <c r="C717" s="24" t="str">
        <f>IF(A717="","",字段母版!$S$77)</f>
        <v/>
      </c>
      <c r="D717" s="24" t="str">
        <f t="shared" si="18"/>
        <v/>
      </c>
    </row>
    <row r="718" spans="1:4" x14ac:dyDescent="0.25">
      <c r="A718" s="24" t="str">
        <f>IF(AND(OR(字段母版!$N$78&lt;&gt;"",字段母版!$O$78&lt;&gt;"",字段母版!$P$78&lt;&gt;"",字段母版!$Q$78&lt;&gt;""),字段母版!$R$78=""),字段母版!$A$78,"")</f>
        <v/>
      </c>
      <c r="B718" s="24" t="str">
        <f>IF(A718="","",字段母版!$M$78)</f>
        <v/>
      </c>
      <c r="C718" s="24" t="str">
        <f>IF(A718="","",字段母版!$S$78)</f>
        <v/>
      </c>
      <c r="D718" s="24" t="str">
        <f t="shared" si="18"/>
        <v/>
      </c>
    </row>
    <row r="719" spans="1:4" x14ac:dyDescent="0.25">
      <c r="A719" s="24" t="str">
        <f>IF(AND(OR(字段母版!$N$79&lt;&gt;"",字段母版!$O$79&lt;&gt;"",字段母版!$P$79&lt;&gt;"",字段母版!$Q$79&lt;&gt;""),字段母版!$R$79=""),字段母版!$A$79,"")</f>
        <v/>
      </c>
      <c r="B719" s="24" t="str">
        <f>IF(A719="","",字段母版!$M$79)</f>
        <v/>
      </c>
      <c r="C719" s="24" t="str">
        <f>IF(A719="","",字段母版!$S$79)</f>
        <v/>
      </c>
      <c r="D719" s="24" t="str">
        <f t="shared" si="18"/>
        <v/>
      </c>
    </row>
    <row r="720" spans="1:4" x14ac:dyDescent="0.25">
      <c r="A720" s="24" t="str">
        <f>IF(AND(OR(字段母版!$N$80&lt;&gt;"",字段母版!$O$80&lt;&gt;"",字段母版!$P$80&lt;&gt;"",字段母版!$Q$80&lt;&gt;""),字段母版!$R$80=""),字段母版!$A$80,"")</f>
        <v/>
      </c>
      <c r="B720" s="24" t="str">
        <f>IF(A720="","",字段母版!$M$80)</f>
        <v/>
      </c>
      <c r="C720" s="24" t="str">
        <f>IF(A720="","",字段母版!$S$80)</f>
        <v/>
      </c>
      <c r="D720" s="24" t="str">
        <f t="shared" si="18"/>
        <v/>
      </c>
    </row>
    <row r="721" spans="1:4" x14ac:dyDescent="0.25">
      <c r="A721" s="24" t="str">
        <f>IF(AND(OR(字段母版!$N$81&lt;&gt;"",字段母版!$O$81&lt;&gt;"",字段母版!$P$81&lt;&gt;"",字段母版!$Q$81&lt;&gt;""),字段母版!$R$81=""),字段母版!$A$81,"")</f>
        <v/>
      </c>
      <c r="B721" s="24" t="str">
        <f>IF(A721="","",字段母版!$M$81)</f>
        <v/>
      </c>
      <c r="C721" s="24" t="str">
        <f>IF(A721="","",字段母版!$S$81)</f>
        <v/>
      </c>
      <c r="D721" s="24" t="str">
        <f t="shared" si="18"/>
        <v/>
      </c>
    </row>
    <row r="722" spans="1:4" x14ac:dyDescent="0.25">
      <c r="A722" s="24" t="str">
        <f>IF(AND(OR(字段母版!$N$82&lt;&gt;"",字段母版!$O$82&lt;&gt;"",字段母版!$P$82&lt;&gt;"",字段母版!$Q$82&lt;&gt;""),字段母版!$R$82=""),字段母版!$A$82,"")</f>
        <v/>
      </c>
      <c r="B722" s="24" t="str">
        <f>IF(A722="","",字段母版!$M$82)</f>
        <v/>
      </c>
      <c r="C722" s="24" t="str">
        <f>IF(A722="","",字段母版!$S$82)</f>
        <v/>
      </c>
      <c r="D722" s="24" t="str">
        <f t="shared" si="18"/>
        <v/>
      </c>
    </row>
    <row r="723" spans="1:4" x14ac:dyDescent="0.25">
      <c r="A723" s="24" t="str">
        <f>IF(AND(OR(字段母版!$N$83&lt;&gt;"",字段母版!$O$83&lt;&gt;"",字段母版!$P$83&lt;&gt;"",字段母版!$Q$83&lt;&gt;""),字段母版!$R$83=""),字段母版!$A$83,"")</f>
        <v/>
      </c>
      <c r="B723" s="24" t="str">
        <f>IF(A723="","",字段母版!$M$83)</f>
        <v/>
      </c>
      <c r="C723" s="24" t="str">
        <f>IF(A723="","",字段母版!$S$83)</f>
        <v/>
      </c>
      <c r="D723" s="24" t="str">
        <f t="shared" si="18"/>
        <v/>
      </c>
    </row>
    <row r="724" spans="1:4" x14ac:dyDescent="0.25">
      <c r="A724" s="24" t="str">
        <f>IF(AND(OR(字段母版!$N$84&lt;&gt;"",字段母版!$O$84&lt;&gt;"",字段母版!$P$84&lt;&gt;"",字段母版!$Q$84&lt;&gt;""),字段母版!$R$84=""),字段母版!$A$84,"")</f>
        <v/>
      </c>
      <c r="B724" s="24" t="str">
        <f>IF(A724="","",字段母版!$M$84)</f>
        <v/>
      </c>
      <c r="C724" s="24" t="str">
        <f>IF(A724="","",字段母版!$S$84)</f>
        <v/>
      </c>
      <c r="D724" s="24" t="str">
        <f t="shared" si="18"/>
        <v/>
      </c>
    </row>
    <row r="725" spans="1:4" x14ac:dyDescent="0.25">
      <c r="A725" s="24" t="str">
        <f>IF(AND(OR(字段母版!$N$85&lt;&gt;"",字段母版!$O$85&lt;&gt;"",字段母版!$P$85&lt;&gt;"",字段母版!$Q$85&lt;&gt;""),字段母版!$R$85=""),字段母版!$A$85,"")</f>
        <v/>
      </c>
      <c r="B725" s="24" t="str">
        <f>IF(A725="","",字段母版!$M$85)</f>
        <v/>
      </c>
      <c r="C725" s="24" t="str">
        <f>IF(A725="","",字段母版!$S$85)</f>
        <v/>
      </c>
      <c r="D725" s="24" t="str">
        <f t="shared" si="18"/>
        <v/>
      </c>
    </row>
    <row r="726" spans="1:4" x14ac:dyDescent="0.25">
      <c r="A726" s="24" t="str">
        <f>IF(AND(OR(字段母版!$N$86&lt;&gt;"",字段母版!$O$86&lt;&gt;"",字段母版!$P$86&lt;&gt;"",字段母版!$Q$86&lt;&gt;""),字段母版!$R$86=""),字段母版!$A$86,"")</f>
        <v/>
      </c>
      <c r="B726" s="24" t="str">
        <f>IF(A726="","",字段母版!$M$86)</f>
        <v/>
      </c>
      <c r="C726" s="24" t="str">
        <f>IF(A726="","",字段母版!$S$86)</f>
        <v/>
      </c>
      <c r="D726" s="24" t="str">
        <f t="shared" si="18"/>
        <v/>
      </c>
    </row>
    <row r="727" spans="1:4" x14ac:dyDescent="0.25">
      <c r="A727" s="24" t="str">
        <f>IF(AND(OR(字段母版!$N$87&lt;&gt;"",字段母版!$O$87&lt;&gt;"",字段母版!$P$87&lt;&gt;"",字段母版!$Q$87&lt;&gt;""),字段母版!$R$87=""),字段母版!$A$87,"")</f>
        <v/>
      </c>
      <c r="B727" s="24" t="str">
        <f>IF(A727="","",字段母版!$M$87)</f>
        <v/>
      </c>
      <c r="C727" s="24" t="str">
        <f>IF(A727="","",字段母版!$S$87)</f>
        <v/>
      </c>
      <c r="D727" s="24" t="str">
        <f t="shared" si="18"/>
        <v/>
      </c>
    </row>
    <row r="728" spans="1:4" x14ac:dyDescent="0.25">
      <c r="A728" s="24" t="str">
        <f>IF(AND(OR(字段母版!$N$88&lt;&gt;"",字段母版!$O$88&lt;&gt;"",字段母版!$P$88&lt;&gt;"",字段母版!$Q$88&lt;&gt;""),字段母版!$R$88=""),字段母版!$A$88,"")</f>
        <v/>
      </c>
      <c r="B728" s="24" t="str">
        <f>IF(A728="","",字段母版!$M$88)</f>
        <v/>
      </c>
      <c r="C728" s="24" t="str">
        <f>IF(A728="","",字段母版!$S$88)</f>
        <v/>
      </c>
      <c r="D728" s="24" t="str">
        <f t="shared" si="18"/>
        <v/>
      </c>
    </row>
    <row r="729" spans="1:4" x14ac:dyDescent="0.25">
      <c r="A729" s="24" t="str">
        <f>IF(AND(OR(字段母版!$N$89&lt;&gt;"",字段母版!$O$89&lt;&gt;"",字段母版!$P$89&lt;&gt;"",字段母版!$Q$89&lt;&gt;""),字段母版!$R$89=""),字段母版!$A$89,"")</f>
        <v/>
      </c>
      <c r="B729" s="24" t="str">
        <f>IF(A729="","",字段母版!$M$89)</f>
        <v/>
      </c>
      <c r="C729" s="24" t="str">
        <f>IF(A729="","",字段母版!$S$89)</f>
        <v/>
      </c>
      <c r="D729" s="24" t="str">
        <f t="shared" si="18"/>
        <v/>
      </c>
    </row>
    <row r="730" spans="1:4" x14ac:dyDescent="0.25">
      <c r="A730" s="24" t="str">
        <f>IF(AND(OR(字段母版!$N$90&lt;&gt;"",字段母版!$O$90&lt;&gt;"",字段母版!$P$90&lt;&gt;"",字段母版!$Q$90&lt;&gt;""),字段母版!$R$90=""),字段母版!$A$90,"")</f>
        <v/>
      </c>
      <c r="B730" s="24" t="str">
        <f>IF(A730="","",字段母版!$M$90)</f>
        <v/>
      </c>
      <c r="C730" s="24" t="str">
        <f>IF(A730="","",字段母版!$S$90)</f>
        <v/>
      </c>
      <c r="D730" s="24" t="str">
        <f t="shared" si="18"/>
        <v/>
      </c>
    </row>
    <row r="731" spans="1:4" x14ac:dyDescent="0.25">
      <c r="A731" s="24" t="str">
        <f>IF(AND(OR(字段母版!$N$91&lt;&gt;"",字段母版!$O$91&lt;&gt;"",字段母版!$P$91&lt;&gt;"",字段母版!$Q$91&lt;&gt;""),字段母版!$R$91=""),字段母版!$A$91,"")</f>
        <v/>
      </c>
      <c r="B731" s="24" t="str">
        <f>IF(A731="","",字段母版!$M$91)</f>
        <v/>
      </c>
      <c r="C731" s="24" t="str">
        <f>IF(A731="","",字段母版!$S$91)</f>
        <v/>
      </c>
      <c r="D731" s="24" t="str">
        <f t="shared" si="18"/>
        <v/>
      </c>
    </row>
    <row r="732" spans="1:4" x14ac:dyDescent="0.25">
      <c r="A732" s="24" t="str">
        <f>IF(AND(OR(字段母版!$N$92&lt;&gt;"",字段母版!$O$92&lt;&gt;"",字段母版!$P$92&lt;&gt;"",字段母版!$Q$92&lt;&gt;""),字段母版!$R$92=""),字段母版!$A$92,"")</f>
        <v/>
      </c>
      <c r="B732" s="24" t="str">
        <f>IF(A732="","",字段母版!$M$92)</f>
        <v/>
      </c>
      <c r="C732" s="24" t="str">
        <f>IF(A732="","",字段母版!$S$92)</f>
        <v/>
      </c>
      <c r="D732" s="24" t="str">
        <f t="shared" si="18"/>
        <v/>
      </c>
    </row>
    <row r="733" spans="1:4" x14ac:dyDescent="0.25">
      <c r="A733" s="24" t="str">
        <f>IF(AND(OR(字段母版!$N$93&lt;&gt;"",字段母版!$O$93&lt;&gt;"",字段母版!$P$93&lt;&gt;"",字段母版!$Q$93&lt;&gt;""),字段母版!$R$93=""),字段母版!$A$93,"")</f>
        <v/>
      </c>
      <c r="B733" s="24" t="str">
        <f>IF(A733="","",字段母版!$M$93)</f>
        <v/>
      </c>
      <c r="C733" s="24" t="str">
        <f>IF(A733="","",字段母版!$S$93)</f>
        <v/>
      </c>
      <c r="D733" s="24" t="str">
        <f t="shared" si="18"/>
        <v/>
      </c>
    </row>
    <row r="734" spans="1:4" x14ac:dyDescent="0.25">
      <c r="A734" s="24" t="str">
        <f>IF(AND(OR(字段母版!$N$94&lt;&gt;"",字段母版!$O$94&lt;&gt;"",字段母版!$P$94&lt;&gt;"",字段母版!$Q$94&lt;&gt;""),字段母版!$R$94=""),字段母版!$A$94,"")</f>
        <v/>
      </c>
      <c r="B734" s="24" t="str">
        <f>IF(A734="","",字段母版!$M$94)</f>
        <v/>
      </c>
      <c r="C734" s="24" t="str">
        <f>IF(A734="","",字段母版!$S$94)</f>
        <v/>
      </c>
      <c r="D734" s="24" t="str">
        <f t="shared" si="18"/>
        <v/>
      </c>
    </row>
    <row r="735" spans="1:4" x14ac:dyDescent="0.25">
      <c r="A735" s="24" t="str">
        <f>IF(AND(OR(字段母版!$N$95&lt;&gt;"",字段母版!$O$95&lt;&gt;"",字段母版!$P$95&lt;&gt;"",字段母版!$Q$95&lt;&gt;""),字段母版!$R$95=""),字段母版!$A$95,"")</f>
        <v/>
      </c>
      <c r="B735" s="24" t="str">
        <f>IF(A735="","",字段母版!$M$95)</f>
        <v/>
      </c>
      <c r="C735" s="24" t="str">
        <f>IF(A735="","",字段母版!$S$95)</f>
        <v/>
      </c>
      <c r="D735" s="24" t="str">
        <f t="shared" si="18"/>
        <v/>
      </c>
    </row>
    <row r="736" spans="1:4" x14ac:dyDescent="0.25">
      <c r="A736" s="24" t="str">
        <f>IF(AND(OR(字段母版!$N$96&lt;&gt;"",字段母版!$O$96&lt;&gt;"",字段母版!$P$96&lt;&gt;"",字段母版!$Q$96&lt;&gt;""),字段母版!$R$96=""),字段母版!$A$96,"")</f>
        <v/>
      </c>
      <c r="B736" s="24" t="str">
        <f>IF(A736="","",字段母版!$M$96)</f>
        <v/>
      </c>
      <c r="C736" s="24" t="str">
        <f>IF(A736="","",字段母版!$S$96)</f>
        <v/>
      </c>
      <c r="D736" s="24" t="str">
        <f t="shared" si="18"/>
        <v/>
      </c>
    </row>
    <row r="737" spans="1:4" x14ac:dyDescent="0.25">
      <c r="A737" s="24" t="str">
        <f>IF(AND(OR(字段母版!$N$97&lt;&gt;"",字段母版!$O$97&lt;&gt;"",字段母版!$P$97&lt;&gt;"",字段母版!$Q$97&lt;&gt;""),字段母版!$R$97=""),字段母版!$A$97,"")</f>
        <v/>
      </c>
      <c r="B737" s="24" t="str">
        <f>IF(A737="","",字段母版!$M$97)</f>
        <v/>
      </c>
      <c r="C737" s="24" t="str">
        <f>IF(A737="","",字段母版!$S$97)</f>
        <v/>
      </c>
      <c r="D737" s="24" t="str">
        <f t="shared" si="18"/>
        <v/>
      </c>
    </row>
    <row r="738" spans="1:4" x14ac:dyDescent="0.25">
      <c r="A738" s="24" t="str">
        <f>IF(AND(OR(字段母版!$N$98&lt;&gt;"",字段母版!$O$98&lt;&gt;"",字段母版!$P$98&lt;&gt;"",字段母版!$Q$98&lt;&gt;""),字段母版!$R$98=""),字段母版!$A$98,"")</f>
        <v/>
      </c>
      <c r="B738" s="24" t="str">
        <f>IF(A738="","",字段母版!$M$98)</f>
        <v/>
      </c>
      <c r="C738" s="24" t="str">
        <f>IF(A738="","",字段母版!$S$98)</f>
        <v/>
      </c>
      <c r="D738" s="24" t="str">
        <f t="shared" si="18"/>
        <v/>
      </c>
    </row>
    <row r="739" spans="1:4" x14ac:dyDescent="0.25">
      <c r="A739" s="24" t="str">
        <f>IF(AND(OR(字段母版!$N$99&lt;&gt;"",字段母版!$O$99&lt;&gt;"",字段母版!$P$99&lt;&gt;"",字段母版!$Q$99&lt;&gt;""),字段母版!$R$99=""),字段母版!$A$99,"")</f>
        <v/>
      </c>
      <c r="B739" s="24" t="str">
        <f>IF(A739="","",字段母版!$M$99)</f>
        <v/>
      </c>
      <c r="C739" s="24" t="str">
        <f>IF(A739="","",字段母版!$S$99)</f>
        <v/>
      </c>
      <c r="D739" s="24" t="str">
        <f t="shared" si="18"/>
        <v/>
      </c>
    </row>
    <row r="740" spans="1:4" x14ac:dyDescent="0.25">
      <c r="A740" s="24" t="str">
        <f>IF(AND(OR(字段母版!$N$100&lt;&gt;"",字段母版!$O$100&lt;&gt;"",字段母版!$P$100&lt;&gt;"",字段母版!$Q$100&lt;&gt;""),字段母版!$R$100=""),字段母版!$A$100,"")</f>
        <v/>
      </c>
      <c r="B740" s="24" t="str">
        <f>IF(A740="","",字段母版!$M$100)</f>
        <v/>
      </c>
      <c r="C740" s="24" t="str">
        <f>IF(A740="","",字段母版!$S$100)</f>
        <v/>
      </c>
      <c r="D740" s="24" t="str">
        <f t="shared" si="18"/>
        <v/>
      </c>
    </row>
    <row r="741" spans="1:4" x14ac:dyDescent="0.25">
      <c r="A741" s="24" t="str">
        <f>IF(AND(OR(字段母版!$N$101&lt;&gt;"",字段母版!$O$101&lt;&gt;"",字段母版!$P$101&lt;&gt;"",字段母版!$Q$101&lt;&gt;""),字段母版!$R$101=""),字段母版!$A$101,"")</f>
        <v/>
      </c>
      <c r="B741" s="24" t="str">
        <f>IF(A741="","",字段母版!$M$101)</f>
        <v/>
      </c>
      <c r="C741" s="24" t="str">
        <f>IF(A741="","",字段母版!$S$101)</f>
        <v/>
      </c>
      <c r="D741" s="24" t="str">
        <f t="shared" ref="D741:D772" si="19">IF(A741="","","已声称映射但缺 v4 证据路径")</f>
        <v/>
      </c>
    </row>
    <row r="742" spans="1:4" x14ac:dyDescent="0.25">
      <c r="A742" s="24" t="str">
        <f>IF(AND(OR(字段母版!$N$102&lt;&gt;"",字段母版!$O$102&lt;&gt;"",字段母版!$P$102&lt;&gt;"",字段母版!$Q$102&lt;&gt;""),字段母版!$R$102=""),字段母版!$A$102,"")</f>
        <v/>
      </c>
      <c r="B742" s="24" t="str">
        <f>IF(A742="","",字段母版!$M$102)</f>
        <v/>
      </c>
      <c r="C742" s="24" t="str">
        <f>IF(A742="","",字段母版!$S$102)</f>
        <v/>
      </c>
      <c r="D742" s="24" t="str">
        <f t="shared" si="19"/>
        <v/>
      </c>
    </row>
    <row r="743" spans="1:4" x14ac:dyDescent="0.25">
      <c r="A743" s="24" t="str">
        <f>IF(AND(OR(字段母版!$N$103&lt;&gt;"",字段母版!$O$103&lt;&gt;"",字段母版!$P$103&lt;&gt;"",字段母版!$Q$103&lt;&gt;""),字段母版!$R$103=""),字段母版!$A$103,"")</f>
        <v/>
      </c>
      <c r="B743" s="24" t="str">
        <f>IF(A743="","",字段母版!$M$103)</f>
        <v/>
      </c>
      <c r="C743" s="24" t="str">
        <f>IF(A743="","",字段母版!$S$103)</f>
        <v/>
      </c>
      <c r="D743" s="24" t="str">
        <f t="shared" si="19"/>
        <v/>
      </c>
    </row>
    <row r="744" spans="1:4" x14ac:dyDescent="0.25">
      <c r="A744" s="24" t="str">
        <f>IF(AND(OR(字段母版!$N$104&lt;&gt;"",字段母版!$O$104&lt;&gt;"",字段母版!$P$104&lt;&gt;"",字段母版!$Q$104&lt;&gt;""),字段母版!$R$104=""),字段母版!$A$104,"")</f>
        <v/>
      </c>
      <c r="B744" s="24" t="str">
        <f>IF(A744="","",字段母版!$M$104)</f>
        <v/>
      </c>
      <c r="C744" s="24" t="str">
        <f>IF(A744="","",字段母版!$S$104)</f>
        <v/>
      </c>
      <c r="D744" s="24" t="str">
        <f t="shared" si="19"/>
        <v/>
      </c>
    </row>
    <row r="745" spans="1:4" x14ac:dyDescent="0.25">
      <c r="A745" s="24" t="str">
        <f>IF(AND(OR(字段母版!$N$105&lt;&gt;"",字段母版!$O$105&lt;&gt;"",字段母版!$P$105&lt;&gt;"",字段母版!$Q$105&lt;&gt;""),字段母版!$R$105=""),字段母版!$A$105,"")</f>
        <v/>
      </c>
      <c r="B745" s="24" t="str">
        <f>IF(A745="","",字段母版!$M$105)</f>
        <v/>
      </c>
      <c r="C745" s="24" t="str">
        <f>IF(A745="","",字段母版!$S$105)</f>
        <v/>
      </c>
      <c r="D745" s="24" t="str">
        <f t="shared" si="19"/>
        <v/>
      </c>
    </row>
    <row r="746" spans="1:4" x14ac:dyDescent="0.25">
      <c r="A746" s="24" t="str">
        <f>IF(AND(OR(字段母版!$N$106&lt;&gt;"",字段母版!$O$106&lt;&gt;"",字段母版!$P$106&lt;&gt;"",字段母版!$Q$106&lt;&gt;""),字段母版!$R$106=""),字段母版!$A$106,"")</f>
        <v/>
      </c>
      <c r="B746" s="24" t="str">
        <f>IF(A746="","",字段母版!$M$106)</f>
        <v/>
      </c>
      <c r="C746" s="24" t="str">
        <f>IF(A746="","",字段母版!$S$106)</f>
        <v/>
      </c>
      <c r="D746" s="24" t="str">
        <f t="shared" si="19"/>
        <v/>
      </c>
    </row>
    <row r="747" spans="1:4" x14ac:dyDescent="0.25">
      <c r="A747" s="24" t="str">
        <f>IF(AND(OR(字段母版!$N$107&lt;&gt;"",字段母版!$O$107&lt;&gt;"",字段母版!$P$107&lt;&gt;"",字段母版!$Q$107&lt;&gt;""),字段母版!$R$107=""),字段母版!$A$107,"")</f>
        <v/>
      </c>
      <c r="B747" s="24" t="str">
        <f>IF(A747="","",字段母版!$M$107)</f>
        <v/>
      </c>
      <c r="C747" s="24" t="str">
        <f>IF(A747="","",字段母版!$S$107)</f>
        <v/>
      </c>
      <c r="D747" s="24" t="str">
        <f t="shared" si="19"/>
        <v/>
      </c>
    </row>
    <row r="748" spans="1:4" x14ac:dyDescent="0.25">
      <c r="A748" s="24" t="str">
        <f>IF(AND(OR(字段母版!$N$108&lt;&gt;"",字段母版!$O$108&lt;&gt;"",字段母版!$P$108&lt;&gt;"",字段母版!$Q$108&lt;&gt;""),字段母版!$R$108=""),字段母版!$A$108,"")</f>
        <v/>
      </c>
      <c r="B748" s="24" t="str">
        <f>IF(A748="","",字段母版!$M$108)</f>
        <v/>
      </c>
      <c r="C748" s="24" t="str">
        <f>IF(A748="","",字段母版!$S$108)</f>
        <v/>
      </c>
      <c r="D748" s="24" t="str">
        <f t="shared" si="19"/>
        <v/>
      </c>
    </row>
    <row r="749" spans="1:4" x14ac:dyDescent="0.25">
      <c r="A749" s="24" t="str">
        <f>IF(AND(OR(字段母版!$N$109&lt;&gt;"",字段母版!$O$109&lt;&gt;"",字段母版!$P$109&lt;&gt;"",字段母版!$Q$109&lt;&gt;""),字段母版!$R$109=""),字段母版!$A$109,"")</f>
        <v/>
      </c>
      <c r="B749" s="24" t="str">
        <f>IF(A749="","",字段母版!$M$109)</f>
        <v/>
      </c>
      <c r="C749" s="24" t="str">
        <f>IF(A749="","",字段母版!$S$109)</f>
        <v/>
      </c>
      <c r="D749" s="24" t="str">
        <f t="shared" si="19"/>
        <v/>
      </c>
    </row>
    <row r="750" spans="1:4" x14ac:dyDescent="0.25">
      <c r="A750" s="24" t="str">
        <f>IF(AND(OR(字段母版!$N$110&lt;&gt;"",字段母版!$O$110&lt;&gt;"",字段母版!$P$110&lt;&gt;"",字段母版!$Q$110&lt;&gt;""),字段母版!$R$110=""),字段母版!$A$110,"")</f>
        <v/>
      </c>
      <c r="B750" s="24" t="str">
        <f>IF(A750="","",字段母版!$M$110)</f>
        <v/>
      </c>
      <c r="C750" s="24" t="str">
        <f>IF(A750="","",字段母版!$S$110)</f>
        <v/>
      </c>
      <c r="D750" s="24" t="str">
        <f t="shared" si="19"/>
        <v/>
      </c>
    </row>
    <row r="751" spans="1:4" x14ac:dyDescent="0.25">
      <c r="A751" s="24" t="str">
        <f>IF(AND(OR(字段母版!$N$111&lt;&gt;"",字段母版!$O$111&lt;&gt;"",字段母版!$P$111&lt;&gt;"",字段母版!$Q$111&lt;&gt;""),字段母版!$R$111=""),字段母版!$A$111,"")</f>
        <v/>
      </c>
      <c r="B751" s="24" t="str">
        <f>IF(A751="","",字段母版!$M$111)</f>
        <v/>
      </c>
      <c r="C751" s="24" t="str">
        <f>IF(A751="","",字段母版!$S$111)</f>
        <v/>
      </c>
      <c r="D751" s="24" t="str">
        <f t="shared" si="19"/>
        <v/>
      </c>
    </row>
    <row r="752" spans="1:4" x14ac:dyDescent="0.25">
      <c r="A752" s="24" t="str">
        <f>IF(AND(OR(字段母版!$N$112&lt;&gt;"",字段母版!$O$112&lt;&gt;"",字段母版!$P$112&lt;&gt;"",字段母版!$Q$112&lt;&gt;""),字段母版!$R$112=""),字段母版!$A$112,"")</f>
        <v/>
      </c>
      <c r="B752" s="24" t="str">
        <f>IF(A752="","",字段母版!$M$112)</f>
        <v/>
      </c>
      <c r="C752" s="24" t="str">
        <f>IF(A752="","",字段母版!$S$112)</f>
        <v/>
      </c>
      <c r="D752" s="24" t="str">
        <f t="shared" si="19"/>
        <v/>
      </c>
    </row>
    <row r="753" spans="1:4" x14ac:dyDescent="0.25">
      <c r="A753" s="24" t="str">
        <f>IF(AND(OR(字段母版!$N$113&lt;&gt;"",字段母版!$O$113&lt;&gt;"",字段母版!$P$113&lt;&gt;"",字段母版!$Q$113&lt;&gt;""),字段母版!$R$113=""),字段母版!$A$113,"")</f>
        <v/>
      </c>
      <c r="B753" s="24" t="str">
        <f>IF(A753="","",字段母版!$M$113)</f>
        <v/>
      </c>
      <c r="C753" s="24" t="str">
        <f>IF(A753="","",字段母版!$S$113)</f>
        <v/>
      </c>
      <c r="D753" s="24" t="str">
        <f t="shared" si="19"/>
        <v/>
      </c>
    </row>
    <row r="754" spans="1:4" x14ac:dyDescent="0.25">
      <c r="A754" s="24" t="str">
        <f>IF(AND(OR(字段母版!$N$114&lt;&gt;"",字段母版!$O$114&lt;&gt;"",字段母版!$P$114&lt;&gt;"",字段母版!$Q$114&lt;&gt;""),字段母版!$R$114=""),字段母版!$A$114,"")</f>
        <v/>
      </c>
      <c r="B754" s="24" t="str">
        <f>IF(A754="","",字段母版!$M$114)</f>
        <v/>
      </c>
      <c r="C754" s="24" t="str">
        <f>IF(A754="","",字段母版!$S$114)</f>
        <v/>
      </c>
      <c r="D754" s="24" t="str">
        <f t="shared" si="19"/>
        <v/>
      </c>
    </row>
    <row r="755" spans="1:4" x14ac:dyDescent="0.25">
      <c r="A755" s="24" t="str">
        <f>IF(AND(OR(字段母版!$N$115&lt;&gt;"",字段母版!$O$115&lt;&gt;"",字段母版!$P$115&lt;&gt;"",字段母版!$Q$115&lt;&gt;""),字段母版!$R$115=""),字段母版!$A$115,"")</f>
        <v/>
      </c>
      <c r="B755" s="24" t="str">
        <f>IF(A755="","",字段母版!$M$115)</f>
        <v/>
      </c>
      <c r="C755" s="24" t="str">
        <f>IF(A755="","",字段母版!$S$115)</f>
        <v/>
      </c>
      <c r="D755" s="24" t="str">
        <f t="shared" si="19"/>
        <v/>
      </c>
    </row>
    <row r="756" spans="1:4" x14ac:dyDescent="0.25">
      <c r="A756" s="24" t="str">
        <f>IF(AND(OR(字段母版!$N$116&lt;&gt;"",字段母版!$O$116&lt;&gt;"",字段母版!$P$116&lt;&gt;"",字段母版!$Q$116&lt;&gt;""),字段母版!$R$116=""),字段母版!$A$116,"")</f>
        <v/>
      </c>
      <c r="B756" s="24" t="str">
        <f>IF(A756="","",字段母版!$M$116)</f>
        <v/>
      </c>
      <c r="C756" s="24" t="str">
        <f>IF(A756="","",字段母版!$S$116)</f>
        <v/>
      </c>
      <c r="D756" s="24" t="str">
        <f t="shared" si="19"/>
        <v/>
      </c>
    </row>
    <row r="757" spans="1:4" x14ac:dyDescent="0.25">
      <c r="A757" s="24" t="str">
        <f>IF(AND(OR(字段母版!$N$117&lt;&gt;"",字段母版!$O$117&lt;&gt;"",字段母版!$P$117&lt;&gt;"",字段母版!$Q$117&lt;&gt;""),字段母版!$R$117=""),字段母版!$A$117,"")</f>
        <v/>
      </c>
      <c r="B757" s="24" t="str">
        <f>IF(A757="","",字段母版!$M$117)</f>
        <v/>
      </c>
      <c r="C757" s="24" t="str">
        <f>IF(A757="","",字段母版!$S$117)</f>
        <v/>
      </c>
      <c r="D757" s="24" t="str">
        <f t="shared" si="19"/>
        <v/>
      </c>
    </row>
    <row r="758" spans="1:4" x14ac:dyDescent="0.25">
      <c r="A758" s="24" t="str">
        <f>IF(AND(OR(字段母版!$N$118&lt;&gt;"",字段母版!$O$118&lt;&gt;"",字段母版!$P$118&lt;&gt;"",字段母版!$Q$118&lt;&gt;""),字段母版!$R$118=""),字段母版!$A$118,"")</f>
        <v/>
      </c>
      <c r="B758" s="24" t="str">
        <f>IF(A758="","",字段母版!$M$118)</f>
        <v/>
      </c>
      <c r="C758" s="24" t="str">
        <f>IF(A758="","",字段母版!$S$118)</f>
        <v/>
      </c>
      <c r="D758" s="24" t="str">
        <f t="shared" si="19"/>
        <v/>
      </c>
    </row>
    <row r="759" spans="1:4" x14ac:dyDescent="0.25">
      <c r="A759" s="24" t="str">
        <f>IF(AND(OR(字段母版!$N$119&lt;&gt;"",字段母版!$O$119&lt;&gt;"",字段母版!$P$119&lt;&gt;"",字段母版!$Q$119&lt;&gt;""),字段母版!$R$119=""),字段母版!$A$119,"")</f>
        <v/>
      </c>
      <c r="B759" s="24" t="str">
        <f>IF(A759="","",字段母版!$M$119)</f>
        <v/>
      </c>
      <c r="C759" s="24" t="str">
        <f>IF(A759="","",字段母版!$S$119)</f>
        <v/>
      </c>
      <c r="D759" s="24" t="str">
        <f t="shared" si="19"/>
        <v/>
      </c>
    </row>
    <row r="760" spans="1:4" x14ac:dyDescent="0.25">
      <c r="A760" s="24" t="str">
        <f>IF(AND(OR(字段母版!$N$120&lt;&gt;"",字段母版!$O$120&lt;&gt;"",字段母版!$P$120&lt;&gt;"",字段母版!$Q$120&lt;&gt;""),字段母版!$R$120=""),字段母版!$A$120,"")</f>
        <v/>
      </c>
      <c r="B760" s="24" t="str">
        <f>IF(A760="","",字段母版!$M$120)</f>
        <v/>
      </c>
      <c r="C760" s="24" t="str">
        <f>IF(A760="","",字段母版!$S$120)</f>
        <v/>
      </c>
      <c r="D760" s="24" t="str">
        <f t="shared" si="19"/>
        <v/>
      </c>
    </row>
    <row r="761" spans="1:4" x14ac:dyDescent="0.25">
      <c r="A761" s="24" t="str">
        <f>IF(AND(OR(字段母版!$N$121&lt;&gt;"",字段母版!$O$121&lt;&gt;"",字段母版!$P$121&lt;&gt;"",字段母版!$Q$121&lt;&gt;""),字段母版!$R$121=""),字段母版!$A$121,"")</f>
        <v/>
      </c>
      <c r="B761" s="24" t="str">
        <f>IF(A761="","",字段母版!$M$121)</f>
        <v/>
      </c>
      <c r="C761" s="24" t="str">
        <f>IF(A761="","",字段母版!$S$121)</f>
        <v/>
      </c>
      <c r="D761" s="24" t="str">
        <f t="shared" si="19"/>
        <v/>
      </c>
    </row>
    <row r="762" spans="1:4" x14ac:dyDescent="0.25">
      <c r="A762" s="24" t="str">
        <f>IF(AND(OR(字段母版!$N$122&lt;&gt;"",字段母版!$O$122&lt;&gt;"",字段母版!$P$122&lt;&gt;"",字段母版!$Q$122&lt;&gt;""),字段母版!$R$122=""),字段母版!$A$122,"")</f>
        <v/>
      </c>
      <c r="B762" s="24" t="str">
        <f>IF(A762="","",字段母版!$M$122)</f>
        <v/>
      </c>
      <c r="C762" s="24" t="str">
        <f>IF(A762="","",字段母版!$S$122)</f>
        <v/>
      </c>
      <c r="D762" s="24" t="str">
        <f t="shared" si="19"/>
        <v/>
      </c>
    </row>
    <row r="763" spans="1:4" x14ac:dyDescent="0.25">
      <c r="A763" s="24" t="str">
        <f>IF(AND(OR(字段母版!$N$123&lt;&gt;"",字段母版!$O$123&lt;&gt;"",字段母版!$P$123&lt;&gt;"",字段母版!$Q$123&lt;&gt;""),字段母版!$R$123=""),字段母版!$A$123,"")</f>
        <v/>
      </c>
      <c r="B763" s="24" t="str">
        <f>IF(A763="","",字段母版!$M$123)</f>
        <v/>
      </c>
      <c r="C763" s="24" t="str">
        <f>IF(A763="","",字段母版!$S$123)</f>
        <v/>
      </c>
      <c r="D763" s="24" t="str">
        <f t="shared" si="19"/>
        <v/>
      </c>
    </row>
    <row r="764" spans="1:4" x14ac:dyDescent="0.25">
      <c r="A764" s="24" t="str">
        <f>IF(AND(OR(字段母版!$N$124&lt;&gt;"",字段母版!$O$124&lt;&gt;"",字段母版!$P$124&lt;&gt;"",字段母版!$Q$124&lt;&gt;""),字段母版!$R$124=""),字段母版!$A$124,"")</f>
        <v/>
      </c>
      <c r="B764" s="24" t="str">
        <f>IF(A764="","",字段母版!$M$124)</f>
        <v/>
      </c>
      <c r="C764" s="24" t="str">
        <f>IF(A764="","",字段母版!$S$124)</f>
        <v/>
      </c>
      <c r="D764" s="24" t="str">
        <f t="shared" si="19"/>
        <v/>
      </c>
    </row>
    <row r="765" spans="1:4" x14ac:dyDescent="0.25">
      <c r="A765" s="24" t="str">
        <f>IF(AND(OR(字段母版!$N$125&lt;&gt;"",字段母版!$O$125&lt;&gt;"",字段母版!$P$125&lt;&gt;"",字段母版!$Q$125&lt;&gt;""),字段母版!$R$125=""),字段母版!$A$125,"")</f>
        <v/>
      </c>
      <c r="B765" s="24" t="str">
        <f>IF(A765="","",字段母版!$M$125)</f>
        <v/>
      </c>
      <c r="C765" s="24" t="str">
        <f>IF(A765="","",字段母版!$S$125)</f>
        <v/>
      </c>
      <c r="D765" s="24" t="str">
        <f t="shared" si="19"/>
        <v/>
      </c>
    </row>
    <row r="766" spans="1:4" x14ac:dyDescent="0.25">
      <c r="A766" s="24" t="str">
        <f>IF(AND(OR(字段母版!$N$126&lt;&gt;"",字段母版!$O$126&lt;&gt;"",字段母版!$P$126&lt;&gt;"",字段母版!$Q$126&lt;&gt;""),字段母版!$R$126=""),字段母版!$A$126,"")</f>
        <v/>
      </c>
      <c r="B766" s="24" t="str">
        <f>IF(A766="","",字段母版!$M$126)</f>
        <v/>
      </c>
      <c r="C766" s="24" t="str">
        <f>IF(A766="","",字段母版!$S$126)</f>
        <v/>
      </c>
      <c r="D766" s="24" t="str">
        <f t="shared" si="19"/>
        <v/>
      </c>
    </row>
    <row r="767" spans="1:4" x14ac:dyDescent="0.25">
      <c r="A767" s="24" t="str">
        <f>IF(AND(OR(字段母版!$N$127&lt;&gt;"",字段母版!$O$127&lt;&gt;"",字段母版!$P$127&lt;&gt;"",字段母版!$Q$127&lt;&gt;""),字段母版!$R$127=""),字段母版!$A$127,"")</f>
        <v/>
      </c>
      <c r="B767" s="24" t="str">
        <f>IF(A767="","",字段母版!$M$127)</f>
        <v/>
      </c>
      <c r="C767" s="24" t="str">
        <f>IF(A767="","",字段母版!$S$127)</f>
        <v/>
      </c>
      <c r="D767" s="24" t="str">
        <f t="shared" si="19"/>
        <v/>
      </c>
    </row>
    <row r="768" spans="1:4" x14ac:dyDescent="0.25">
      <c r="A768" s="24" t="str">
        <f>IF(AND(OR(字段母版!$N$128&lt;&gt;"",字段母版!$O$128&lt;&gt;"",字段母版!$P$128&lt;&gt;"",字段母版!$Q$128&lt;&gt;""),字段母版!$R$128=""),字段母版!$A$128,"")</f>
        <v/>
      </c>
      <c r="B768" s="24" t="str">
        <f>IF(A768="","",字段母版!$M$128)</f>
        <v/>
      </c>
      <c r="C768" s="24" t="str">
        <f>IF(A768="","",字段母版!$S$128)</f>
        <v/>
      </c>
      <c r="D768" s="24" t="str">
        <f t="shared" si="19"/>
        <v/>
      </c>
    </row>
    <row r="769" spans="1:4" x14ac:dyDescent="0.25">
      <c r="A769" s="24" t="str">
        <f>IF(AND(OR(字段母版!$N$129&lt;&gt;"",字段母版!$O$129&lt;&gt;"",字段母版!$P$129&lt;&gt;"",字段母版!$Q$129&lt;&gt;""),字段母版!$R$129=""),字段母版!$A$129,"")</f>
        <v/>
      </c>
      <c r="B769" s="24" t="str">
        <f>IF(A769="","",字段母版!$M$129)</f>
        <v/>
      </c>
      <c r="C769" s="24" t="str">
        <f>IF(A769="","",字段母版!$S$129)</f>
        <v/>
      </c>
      <c r="D769" s="24" t="str">
        <f t="shared" si="19"/>
        <v/>
      </c>
    </row>
    <row r="770" spans="1:4" x14ac:dyDescent="0.25">
      <c r="A770" s="24" t="str">
        <f>IF(AND(OR(字段母版!$N$130&lt;&gt;"",字段母版!$O$130&lt;&gt;"",字段母版!$P$130&lt;&gt;"",字段母版!$Q$130&lt;&gt;""),字段母版!$R$130=""),字段母版!$A$130,"")</f>
        <v/>
      </c>
      <c r="B770" s="24" t="str">
        <f>IF(A770="","",字段母版!$M$130)</f>
        <v/>
      </c>
      <c r="C770" s="24" t="str">
        <f>IF(A770="","",字段母版!$S$130)</f>
        <v/>
      </c>
      <c r="D770" s="24" t="str">
        <f t="shared" si="19"/>
        <v/>
      </c>
    </row>
    <row r="771" spans="1:4" x14ac:dyDescent="0.25">
      <c r="A771" s="24" t="str">
        <f>IF(AND(OR(字段母版!$N$131&lt;&gt;"",字段母版!$O$131&lt;&gt;"",字段母版!$P$131&lt;&gt;"",字段母版!$Q$131&lt;&gt;""),字段母版!$R$131=""),字段母版!$A$131,"")</f>
        <v/>
      </c>
      <c r="B771" s="24" t="str">
        <f>IF(A771="","",字段母版!$M$131)</f>
        <v/>
      </c>
      <c r="C771" s="24" t="str">
        <f>IF(A771="","",字段母版!$S$131)</f>
        <v/>
      </c>
      <c r="D771" s="24" t="str">
        <f t="shared" si="19"/>
        <v/>
      </c>
    </row>
    <row r="772" spans="1:4" x14ac:dyDescent="0.25">
      <c r="A772" s="24" t="str">
        <f>IF(AND(OR(字段母版!$N$132&lt;&gt;"",字段母版!$O$132&lt;&gt;"",字段母版!$P$132&lt;&gt;"",字段母版!$Q$132&lt;&gt;""),字段母版!$R$132=""),字段母版!$A$132,"")</f>
        <v/>
      </c>
      <c r="B772" s="24" t="str">
        <f>IF(A772="","",字段母版!$M$132)</f>
        <v/>
      </c>
      <c r="C772" s="24" t="str">
        <f>IF(A772="","",字段母版!$S$132)</f>
        <v/>
      </c>
      <c r="D772" s="24" t="str">
        <f t="shared" si="19"/>
        <v/>
      </c>
    </row>
    <row r="773" spans="1:4" x14ac:dyDescent="0.25">
      <c r="A773" s="24" t="str">
        <f>IF(AND(OR(字段母版!$N$133&lt;&gt;"",字段母版!$O$133&lt;&gt;"",字段母版!$P$133&lt;&gt;"",字段母版!$Q$133&lt;&gt;""),字段母版!$R$133=""),字段母版!$A$133,"")</f>
        <v/>
      </c>
      <c r="B773" s="24" t="str">
        <f>IF(A773="","",字段母版!$M$133)</f>
        <v/>
      </c>
      <c r="C773" s="24" t="str">
        <f>IF(A773="","",字段母版!$S$133)</f>
        <v/>
      </c>
      <c r="D773" s="24" t="str">
        <f t="shared" ref="D773:D804" si="20">IF(A773="","","已声称映射但缺 v4 证据路径")</f>
        <v/>
      </c>
    </row>
    <row r="774" spans="1:4" x14ac:dyDescent="0.25">
      <c r="A774" s="24" t="str">
        <f>IF(AND(OR(字段母版!$N$134&lt;&gt;"",字段母版!$O$134&lt;&gt;"",字段母版!$P$134&lt;&gt;"",字段母版!$Q$134&lt;&gt;""),字段母版!$R$134=""),字段母版!$A$134,"")</f>
        <v/>
      </c>
      <c r="B774" s="24" t="str">
        <f>IF(A774="","",字段母版!$M$134)</f>
        <v/>
      </c>
      <c r="C774" s="24" t="str">
        <f>IF(A774="","",字段母版!$S$134)</f>
        <v/>
      </c>
      <c r="D774" s="24" t="str">
        <f t="shared" si="20"/>
        <v/>
      </c>
    </row>
    <row r="775" spans="1:4" x14ac:dyDescent="0.25">
      <c r="A775" s="24" t="str">
        <f>IF(AND(OR(字段母版!$N$135&lt;&gt;"",字段母版!$O$135&lt;&gt;"",字段母版!$P$135&lt;&gt;"",字段母版!$Q$135&lt;&gt;""),字段母版!$R$135=""),字段母版!$A$135,"")</f>
        <v/>
      </c>
      <c r="B775" s="24" t="str">
        <f>IF(A775="","",字段母版!$M$135)</f>
        <v/>
      </c>
      <c r="C775" s="24" t="str">
        <f>IF(A775="","",字段母版!$S$135)</f>
        <v/>
      </c>
      <c r="D775" s="24" t="str">
        <f t="shared" si="20"/>
        <v/>
      </c>
    </row>
    <row r="776" spans="1:4" x14ac:dyDescent="0.25">
      <c r="A776" s="24" t="str">
        <f>IF(AND(OR(字段母版!$N$136&lt;&gt;"",字段母版!$O$136&lt;&gt;"",字段母版!$P$136&lt;&gt;"",字段母版!$Q$136&lt;&gt;""),字段母版!$R$136=""),字段母版!$A$136,"")</f>
        <v/>
      </c>
      <c r="B776" s="24" t="str">
        <f>IF(A776="","",字段母版!$M$136)</f>
        <v/>
      </c>
      <c r="C776" s="24" t="str">
        <f>IF(A776="","",字段母版!$S$136)</f>
        <v/>
      </c>
      <c r="D776" s="24" t="str">
        <f t="shared" si="20"/>
        <v/>
      </c>
    </row>
    <row r="777" spans="1:4" x14ac:dyDescent="0.25">
      <c r="A777" s="24" t="str">
        <f>IF(AND(OR(字段母版!$N$137&lt;&gt;"",字段母版!$O$137&lt;&gt;"",字段母版!$P$137&lt;&gt;"",字段母版!$Q$137&lt;&gt;""),字段母版!$R$137=""),字段母版!$A$137,"")</f>
        <v/>
      </c>
      <c r="B777" s="24" t="str">
        <f>IF(A777="","",字段母版!$M$137)</f>
        <v/>
      </c>
      <c r="C777" s="24" t="str">
        <f>IF(A777="","",字段母版!$S$137)</f>
        <v/>
      </c>
      <c r="D777" s="24" t="str">
        <f t="shared" si="20"/>
        <v/>
      </c>
    </row>
    <row r="778" spans="1:4" x14ac:dyDescent="0.25">
      <c r="A778" s="24" t="str">
        <f>IF(AND(OR(字段母版!$N$138&lt;&gt;"",字段母版!$O$138&lt;&gt;"",字段母版!$P$138&lt;&gt;"",字段母版!$Q$138&lt;&gt;""),字段母版!$R$138=""),字段母版!$A$138,"")</f>
        <v/>
      </c>
      <c r="B778" s="24" t="str">
        <f>IF(A778="","",字段母版!$M$138)</f>
        <v/>
      </c>
      <c r="C778" s="24" t="str">
        <f>IF(A778="","",字段母版!$S$138)</f>
        <v/>
      </c>
      <c r="D778" s="24" t="str">
        <f t="shared" si="20"/>
        <v/>
      </c>
    </row>
    <row r="779" spans="1:4" x14ac:dyDescent="0.25">
      <c r="A779" s="24" t="str">
        <f>IF(AND(OR(字段母版!$N$139&lt;&gt;"",字段母版!$O$139&lt;&gt;"",字段母版!$P$139&lt;&gt;"",字段母版!$Q$139&lt;&gt;""),字段母版!$R$139=""),字段母版!$A$139,"")</f>
        <v/>
      </c>
      <c r="B779" s="24" t="str">
        <f>IF(A779="","",字段母版!$M$139)</f>
        <v/>
      </c>
      <c r="C779" s="24" t="str">
        <f>IF(A779="","",字段母版!$S$139)</f>
        <v/>
      </c>
      <c r="D779" s="24" t="str">
        <f t="shared" si="20"/>
        <v/>
      </c>
    </row>
    <row r="780" spans="1:4" x14ac:dyDescent="0.25">
      <c r="A780" s="24" t="str">
        <f>IF(AND(OR(字段母版!$N$140&lt;&gt;"",字段母版!$O$140&lt;&gt;"",字段母版!$P$140&lt;&gt;"",字段母版!$Q$140&lt;&gt;""),字段母版!$R$140=""),字段母版!$A$140,"")</f>
        <v/>
      </c>
      <c r="B780" s="24" t="str">
        <f>IF(A780="","",字段母版!$M$140)</f>
        <v/>
      </c>
      <c r="C780" s="24" t="str">
        <f>IF(A780="","",字段母版!$S$140)</f>
        <v/>
      </c>
      <c r="D780" s="24" t="str">
        <f t="shared" si="20"/>
        <v/>
      </c>
    </row>
    <row r="781" spans="1:4" x14ac:dyDescent="0.25">
      <c r="A781" s="24" t="str">
        <f>IF(AND(OR(字段母版!$N$141&lt;&gt;"",字段母版!$O$141&lt;&gt;"",字段母版!$P$141&lt;&gt;"",字段母版!$Q$141&lt;&gt;""),字段母版!$R$141=""),字段母版!$A$141,"")</f>
        <v/>
      </c>
      <c r="B781" s="24" t="str">
        <f>IF(A781="","",字段母版!$M$141)</f>
        <v/>
      </c>
      <c r="C781" s="24" t="str">
        <f>IF(A781="","",字段母版!$S$141)</f>
        <v/>
      </c>
      <c r="D781" s="24" t="str">
        <f t="shared" si="20"/>
        <v/>
      </c>
    </row>
    <row r="782" spans="1:4" x14ac:dyDescent="0.25">
      <c r="A782" s="24" t="str">
        <f>IF(AND(OR(字段母版!$N$142&lt;&gt;"",字段母版!$O$142&lt;&gt;"",字段母版!$P$142&lt;&gt;"",字段母版!$Q$142&lt;&gt;""),字段母版!$R$142=""),字段母版!$A$142,"")</f>
        <v/>
      </c>
      <c r="B782" s="24" t="str">
        <f>IF(A782="","",字段母版!$M$142)</f>
        <v/>
      </c>
      <c r="C782" s="24" t="str">
        <f>IF(A782="","",字段母版!$S$142)</f>
        <v/>
      </c>
      <c r="D782" s="24" t="str">
        <f t="shared" si="20"/>
        <v/>
      </c>
    </row>
    <row r="783" spans="1:4" x14ac:dyDescent="0.25">
      <c r="A783" s="24" t="str">
        <f>IF(AND(OR(字段母版!$N$143&lt;&gt;"",字段母版!$O$143&lt;&gt;"",字段母版!$P$143&lt;&gt;"",字段母版!$Q$143&lt;&gt;""),字段母版!$R$143=""),字段母版!$A$143,"")</f>
        <v/>
      </c>
      <c r="B783" s="24" t="str">
        <f>IF(A783="","",字段母版!$M$143)</f>
        <v/>
      </c>
      <c r="C783" s="24" t="str">
        <f>IF(A783="","",字段母版!$S$143)</f>
        <v/>
      </c>
      <c r="D783" s="24" t="str">
        <f t="shared" si="20"/>
        <v/>
      </c>
    </row>
    <row r="784" spans="1:4" x14ac:dyDescent="0.25">
      <c r="A784" s="24" t="str">
        <f>IF(AND(OR(字段母版!$N$144&lt;&gt;"",字段母版!$O$144&lt;&gt;"",字段母版!$P$144&lt;&gt;"",字段母版!$Q$144&lt;&gt;""),字段母版!$R$144=""),字段母版!$A$144,"")</f>
        <v/>
      </c>
      <c r="B784" s="24" t="str">
        <f>IF(A784="","",字段母版!$M$144)</f>
        <v/>
      </c>
      <c r="C784" s="24" t="str">
        <f>IF(A784="","",字段母版!$S$144)</f>
        <v/>
      </c>
      <c r="D784" s="24" t="str">
        <f t="shared" si="20"/>
        <v/>
      </c>
    </row>
    <row r="785" spans="1:4" x14ac:dyDescent="0.25">
      <c r="A785" s="24" t="str">
        <f>IF(AND(OR(字段母版!$N$145&lt;&gt;"",字段母版!$O$145&lt;&gt;"",字段母版!$P$145&lt;&gt;"",字段母版!$Q$145&lt;&gt;""),字段母版!$R$145=""),字段母版!$A$145,"")</f>
        <v/>
      </c>
      <c r="B785" s="24" t="str">
        <f>IF(A785="","",字段母版!$M$145)</f>
        <v/>
      </c>
      <c r="C785" s="24" t="str">
        <f>IF(A785="","",字段母版!$S$145)</f>
        <v/>
      </c>
      <c r="D785" s="24" t="str">
        <f t="shared" si="20"/>
        <v/>
      </c>
    </row>
    <row r="786" spans="1:4" x14ac:dyDescent="0.25">
      <c r="A786" s="24" t="str">
        <f>IF(AND(OR(字段母版!$N$146&lt;&gt;"",字段母版!$O$146&lt;&gt;"",字段母版!$P$146&lt;&gt;"",字段母版!$Q$146&lt;&gt;""),字段母版!$R$146=""),字段母版!$A$146,"")</f>
        <v/>
      </c>
      <c r="B786" s="24" t="str">
        <f>IF(A786="","",字段母版!$M$146)</f>
        <v/>
      </c>
      <c r="C786" s="24" t="str">
        <f>IF(A786="","",字段母版!$S$146)</f>
        <v/>
      </c>
      <c r="D786" s="24" t="str">
        <f t="shared" si="20"/>
        <v/>
      </c>
    </row>
    <row r="787" spans="1:4" x14ac:dyDescent="0.25">
      <c r="A787" s="24" t="str">
        <f>IF(AND(OR(字段母版!$N$147&lt;&gt;"",字段母版!$O$147&lt;&gt;"",字段母版!$P$147&lt;&gt;"",字段母版!$Q$147&lt;&gt;""),字段母版!$R$147=""),字段母版!$A$147,"")</f>
        <v/>
      </c>
      <c r="B787" s="24" t="str">
        <f>IF(A787="","",字段母版!$M$147)</f>
        <v/>
      </c>
      <c r="C787" s="24" t="str">
        <f>IF(A787="","",字段母版!$S$147)</f>
        <v/>
      </c>
      <c r="D787" s="24" t="str">
        <f t="shared" si="20"/>
        <v/>
      </c>
    </row>
    <row r="788" spans="1:4" x14ac:dyDescent="0.25">
      <c r="A788" s="24" t="str">
        <f>IF(AND(OR(字段母版!$N$148&lt;&gt;"",字段母版!$O$148&lt;&gt;"",字段母版!$P$148&lt;&gt;"",字段母版!$Q$148&lt;&gt;""),字段母版!$R$148=""),字段母版!$A$148,"")</f>
        <v/>
      </c>
      <c r="B788" s="24" t="str">
        <f>IF(A788="","",字段母版!$M$148)</f>
        <v/>
      </c>
      <c r="C788" s="24" t="str">
        <f>IF(A788="","",字段母版!$S$148)</f>
        <v/>
      </c>
      <c r="D788" s="24" t="str">
        <f t="shared" si="20"/>
        <v/>
      </c>
    </row>
    <row r="789" spans="1:4" x14ac:dyDescent="0.25">
      <c r="A789" s="24" t="str">
        <f>IF(AND(OR(字段母版!$N$149&lt;&gt;"",字段母版!$O$149&lt;&gt;"",字段母版!$P$149&lt;&gt;"",字段母版!$Q$149&lt;&gt;""),字段母版!$R$149=""),字段母版!$A$149,"")</f>
        <v/>
      </c>
      <c r="B789" s="24" t="str">
        <f>IF(A789="","",字段母版!$M$149)</f>
        <v/>
      </c>
      <c r="C789" s="24" t="str">
        <f>IF(A789="","",字段母版!$S$149)</f>
        <v/>
      </c>
      <c r="D789" s="24" t="str">
        <f t="shared" si="20"/>
        <v/>
      </c>
    </row>
    <row r="790" spans="1:4" x14ac:dyDescent="0.25">
      <c r="A790" s="24" t="str">
        <f>IF(AND(OR(字段母版!$N$150&lt;&gt;"",字段母版!$O$150&lt;&gt;"",字段母版!$P$150&lt;&gt;"",字段母版!$Q$150&lt;&gt;""),字段母版!$R$150=""),字段母版!$A$150,"")</f>
        <v/>
      </c>
      <c r="B790" s="24" t="str">
        <f>IF(A790="","",字段母版!$M$150)</f>
        <v/>
      </c>
      <c r="C790" s="24" t="str">
        <f>IF(A790="","",字段母版!$S$150)</f>
        <v/>
      </c>
      <c r="D790" s="24" t="str">
        <f t="shared" si="20"/>
        <v/>
      </c>
    </row>
    <row r="791" spans="1:4" x14ac:dyDescent="0.25">
      <c r="A791" s="24" t="str">
        <f>IF(AND(OR(字段母版!$N$151&lt;&gt;"",字段母版!$O$151&lt;&gt;"",字段母版!$P$151&lt;&gt;"",字段母版!$Q$151&lt;&gt;""),字段母版!$R$151=""),字段母版!$A$151,"")</f>
        <v/>
      </c>
      <c r="B791" s="24" t="str">
        <f>IF(A791="","",字段母版!$M$151)</f>
        <v/>
      </c>
      <c r="C791" s="24" t="str">
        <f>IF(A791="","",字段母版!$S$151)</f>
        <v/>
      </c>
      <c r="D791" s="24" t="str">
        <f t="shared" si="20"/>
        <v/>
      </c>
    </row>
    <row r="792" spans="1:4" x14ac:dyDescent="0.25">
      <c r="A792" s="24" t="str">
        <f>IF(AND(OR(字段母版!$N$152&lt;&gt;"",字段母版!$O$152&lt;&gt;"",字段母版!$P$152&lt;&gt;"",字段母版!$Q$152&lt;&gt;""),字段母版!$R$152=""),字段母版!$A$152,"")</f>
        <v/>
      </c>
      <c r="B792" s="24" t="str">
        <f>IF(A792="","",字段母版!$M$152)</f>
        <v/>
      </c>
      <c r="C792" s="24" t="str">
        <f>IF(A792="","",字段母版!$S$152)</f>
        <v/>
      </c>
      <c r="D792" s="24" t="str">
        <f t="shared" si="20"/>
        <v/>
      </c>
    </row>
    <row r="793" spans="1:4" x14ac:dyDescent="0.25">
      <c r="A793" s="24" t="str">
        <f>IF(AND(OR(字段母版!$N$153&lt;&gt;"",字段母版!$O$153&lt;&gt;"",字段母版!$P$153&lt;&gt;"",字段母版!$Q$153&lt;&gt;""),字段母版!$R$153=""),字段母版!$A$153,"")</f>
        <v/>
      </c>
      <c r="B793" s="24" t="str">
        <f>IF(A793="","",字段母版!$M$153)</f>
        <v/>
      </c>
      <c r="C793" s="24" t="str">
        <f>IF(A793="","",字段母版!$S$153)</f>
        <v/>
      </c>
      <c r="D793" s="24" t="str">
        <f t="shared" si="20"/>
        <v/>
      </c>
    </row>
    <row r="794" spans="1:4" x14ac:dyDescent="0.25">
      <c r="A794" s="24" t="str">
        <f>IF(AND(OR(字段母版!$N$154&lt;&gt;"",字段母版!$O$154&lt;&gt;"",字段母版!$P$154&lt;&gt;"",字段母版!$Q$154&lt;&gt;""),字段母版!$R$154=""),字段母版!$A$154,"")</f>
        <v/>
      </c>
      <c r="B794" s="24" t="str">
        <f>IF(A794="","",字段母版!$M$154)</f>
        <v/>
      </c>
      <c r="C794" s="24" t="str">
        <f>IF(A794="","",字段母版!$S$154)</f>
        <v/>
      </c>
      <c r="D794" s="24" t="str">
        <f t="shared" si="20"/>
        <v/>
      </c>
    </row>
    <row r="795" spans="1:4" x14ac:dyDescent="0.25">
      <c r="A795" s="24" t="str">
        <f>IF(AND(OR(字段母版!$N$155&lt;&gt;"",字段母版!$O$155&lt;&gt;"",字段母版!$P$155&lt;&gt;"",字段母版!$Q$155&lt;&gt;""),字段母版!$R$155=""),字段母版!$A$155,"")</f>
        <v/>
      </c>
      <c r="B795" s="24" t="str">
        <f>IF(A795="","",字段母版!$M$155)</f>
        <v/>
      </c>
      <c r="C795" s="24" t="str">
        <f>IF(A795="","",字段母版!$S$155)</f>
        <v/>
      </c>
      <c r="D795" s="24" t="str">
        <f t="shared" si="20"/>
        <v/>
      </c>
    </row>
    <row r="796" spans="1:4" x14ac:dyDescent="0.25">
      <c r="A796" s="24" t="str">
        <f>IF(AND(OR(字段母版!$N$156&lt;&gt;"",字段母版!$O$156&lt;&gt;"",字段母版!$P$156&lt;&gt;"",字段母版!$Q$156&lt;&gt;""),字段母版!$R$156=""),字段母版!$A$156,"")</f>
        <v/>
      </c>
      <c r="B796" s="24" t="str">
        <f>IF(A796="","",字段母版!$M$156)</f>
        <v/>
      </c>
      <c r="C796" s="24" t="str">
        <f>IF(A796="","",字段母版!$S$156)</f>
        <v/>
      </c>
      <c r="D796" s="24" t="str">
        <f t="shared" si="20"/>
        <v/>
      </c>
    </row>
    <row r="797" spans="1:4" x14ac:dyDescent="0.25">
      <c r="A797" s="24" t="str">
        <f>IF(AND(OR(字段母版!$N$157&lt;&gt;"",字段母版!$O$157&lt;&gt;"",字段母版!$P$157&lt;&gt;"",字段母版!$Q$157&lt;&gt;""),字段母版!$R$157=""),字段母版!$A$157,"")</f>
        <v/>
      </c>
      <c r="B797" s="24" t="str">
        <f>IF(A797="","",字段母版!$M$157)</f>
        <v/>
      </c>
      <c r="C797" s="24" t="str">
        <f>IF(A797="","",字段母版!$S$157)</f>
        <v/>
      </c>
      <c r="D797" s="24" t="str">
        <f t="shared" si="20"/>
        <v/>
      </c>
    </row>
    <row r="798" spans="1:4" x14ac:dyDescent="0.25">
      <c r="A798" s="24" t="str">
        <f>IF(AND(OR(字段母版!$N$158&lt;&gt;"",字段母版!$O$158&lt;&gt;"",字段母版!$P$158&lt;&gt;"",字段母版!$Q$158&lt;&gt;""),字段母版!$R$158=""),字段母版!$A$158,"")</f>
        <v/>
      </c>
      <c r="B798" s="24" t="str">
        <f>IF(A798="","",字段母版!$M$158)</f>
        <v/>
      </c>
      <c r="C798" s="24" t="str">
        <f>IF(A798="","",字段母版!$S$158)</f>
        <v/>
      </c>
      <c r="D798" s="24" t="str">
        <f t="shared" si="20"/>
        <v/>
      </c>
    </row>
    <row r="799" spans="1:4" x14ac:dyDescent="0.25">
      <c r="A799" s="24" t="str">
        <f>IF(AND(OR(字段母版!$N$159&lt;&gt;"",字段母版!$O$159&lt;&gt;"",字段母版!$P$159&lt;&gt;"",字段母版!$Q$159&lt;&gt;""),字段母版!$R$159=""),字段母版!$A$159,"")</f>
        <v/>
      </c>
      <c r="B799" s="24" t="str">
        <f>IF(A799="","",字段母版!$M$159)</f>
        <v/>
      </c>
      <c r="C799" s="24" t="str">
        <f>IF(A799="","",字段母版!$S$159)</f>
        <v/>
      </c>
      <c r="D799" s="24" t="str">
        <f t="shared" si="20"/>
        <v/>
      </c>
    </row>
    <row r="800" spans="1:4" x14ac:dyDescent="0.25">
      <c r="A800" s="24" t="str">
        <f>IF(AND(OR(字段母版!$N$160&lt;&gt;"",字段母版!$O$160&lt;&gt;"",字段母版!$P$160&lt;&gt;"",字段母版!$Q$160&lt;&gt;""),字段母版!$R$160=""),字段母版!$A$160,"")</f>
        <v/>
      </c>
      <c r="B800" s="24" t="str">
        <f>IF(A800="","",字段母版!$M$160)</f>
        <v/>
      </c>
      <c r="C800" s="24" t="str">
        <f>IF(A800="","",字段母版!$S$160)</f>
        <v/>
      </c>
      <c r="D800" s="24" t="str">
        <f t="shared" si="20"/>
        <v/>
      </c>
    </row>
    <row r="801" spans="1:4" x14ac:dyDescent="0.25">
      <c r="A801" s="24" t="str">
        <f>IF(AND(OR(字段母版!$N$161&lt;&gt;"",字段母版!$O$161&lt;&gt;"",字段母版!$P$161&lt;&gt;"",字段母版!$Q$161&lt;&gt;""),字段母版!$R$161=""),字段母版!$A$161,"")</f>
        <v/>
      </c>
      <c r="B801" s="24" t="str">
        <f>IF(A801="","",字段母版!$M$161)</f>
        <v/>
      </c>
      <c r="C801" s="24" t="str">
        <f>IF(A801="","",字段母版!$S$161)</f>
        <v/>
      </c>
      <c r="D801" s="24" t="str">
        <f t="shared" si="20"/>
        <v/>
      </c>
    </row>
    <row r="802" spans="1:4" x14ac:dyDescent="0.25">
      <c r="A802" s="24" t="str">
        <f>IF(AND(OR(字段母版!$N$162&lt;&gt;"",字段母版!$O$162&lt;&gt;"",字段母版!$P$162&lt;&gt;"",字段母版!$Q$162&lt;&gt;""),字段母版!$R$162=""),字段母版!$A$162,"")</f>
        <v/>
      </c>
      <c r="B802" s="24" t="str">
        <f>IF(A802="","",字段母版!$M$162)</f>
        <v/>
      </c>
      <c r="C802" s="24" t="str">
        <f>IF(A802="","",字段母版!$S$162)</f>
        <v/>
      </c>
      <c r="D802" s="24" t="str">
        <f t="shared" si="20"/>
        <v/>
      </c>
    </row>
    <row r="803" spans="1:4" x14ac:dyDescent="0.25">
      <c r="A803" s="24" t="str">
        <f>IF(AND(OR(字段母版!$N$163&lt;&gt;"",字段母版!$O$163&lt;&gt;"",字段母版!$P$163&lt;&gt;"",字段母版!$Q$163&lt;&gt;""),字段母版!$R$163=""),字段母版!$A$163,"")</f>
        <v/>
      </c>
      <c r="B803" s="24" t="str">
        <f>IF(A803="","",字段母版!$M$163)</f>
        <v/>
      </c>
      <c r="C803" s="24" t="str">
        <f>IF(A803="","",字段母版!$S$163)</f>
        <v/>
      </c>
      <c r="D803" s="24" t="str">
        <f t="shared" si="20"/>
        <v/>
      </c>
    </row>
    <row r="804" spans="1:4" x14ac:dyDescent="0.25">
      <c r="A804" s="24" t="str">
        <f>IF(AND(OR(字段母版!$N$164&lt;&gt;"",字段母版!$O$164&lt;&gt;"",字段母版!$P$164&lt;&gt;"",字段母版!$Q$164&lt;&gt;""),字段母版!$R$164=""),字段母版!$A$164,"")</f>
        <v/>
      </c>
      <c r="B804" s="24" t="str">
        <f>IF(A804="","",字段母版!$M$164)</f>
        <v/>
      </c>
      <c r="C804" s="24" t="str">
        <f>IF(A804="","",字段母版!$S$164)</f>
        <v/>
      </c>
      <c r="D804" s="24" t="str">
        <f t="shared" si="20"/>
        <v/>
      </c>
    </row>
    <row r="805" spans="1:4" x14ac:dyDescent="0.25">
      <c r="A805" s="24" t="str">
        <f>IF(AND(OR(字段母版!$N$165&lt;&gt;"",字段母版!$O$165&lt;&gt;"",字段母版!$P$165&lt;&gt;"",字段母版!$Q$165&lt;&gt;""),字段母版!$R$165=""),字段母版!$A$165,"")</f>
        <v/>
      </c>
      <c r="B805" s="24" t="str">
        <f>IF(A805="","",字段母版!$M$165)</f>
        <v/>
      </c>
      <c r="C805" s="24" t="str">
        <f>IF(A805="","",字段母版!$S$165)</f>
        <v/>
      </c>
      <c r="D805" s="24" t="str">
        <f t="shared" ref="D805:D827" si="21">IF(A805="","","已声称映射但缺 v4 证据路径")</f>
        <v/>
      </c>
    </row>
    <row r="806" spans="1:4" x14ac:dyDescent="0.25">
      <c r="A806" s="24" t="str">
        <f>IF(AND(OR(字段母版!$N$166&lt;&gt;"",字段母版!$O$166&lt;&gt;"",字段母版!$P$166&lt;&gt;"",字段母版!$Q$166&lt;&gt;""),字段母版!$R$166=""),字段母版!$A$166,"")</f>
        <v/>
      </c>
      <c r="B806" s="24" t="str">
        <f>IF(A806="","",字段母版!$M$166)</f>
        <v/>
      </c>
      <c r="C806" s="24" t="str">
        <f>IF(A806="","",字段母版!$S$166)</f>
        <v/>
      </c>
      <c r="D806" s="24" t="str">
        <f t="shared" si="21"/>
        <v/>
      </c>
    </row>
    <row r="807" spans="1:4" x14ac:dyDescent="0.25">
      <c r="A807" s="24" t="str">
        <f>IF(AND(OR(字段母版!$N$167&lt;&gt;"",字段母版!$O$167&lt;&gt;"",字段母版!$P$167&lt;&gt;"",字段母版!$Q$167&lt;&gt;""),字段母版!$R$167=""),字段母版!$A$167,"")</f>
        <v/>
      </c>
      <c r="B807" s="24" t="str">
        <f>IF(A807="","",字段母版!$M$167)</f>
        <v/>
      </c>
      <c r="C807" s="24" t="str">
        <f>IF(A807="","",字段母版!$S$167)</f>
        <v/>
      </c>
      <c r="D807" s="24" t="str">
        <f t="shared" si="21"/>
        <v/>
      </c>
    </row>
    <row r="808" spans="1:4" x14ac:dyDescent="0.25">
      <c r="A808" s="24" t="str">
        <f>IF(AND(OR(字段母版!$N$168&lt;&gt;"",字段母版!$O$168&lt;&gt;"",字段母版!$P$168&lt;&gt;"",字段母版!$Q$168&lt;&gt;""),字段母版!$R$168=""),字段母版!$A$168,"")</f>
        <v/>
      </c>
      <c r="B808" s="24" t="str">
        <f>IF(A808="","",字段母版!$M$168)</f>
        <v/>
      </c>
      <c r="C808" s="24" t="str">
        <f>IF(A808="","",字段母版!$S$168)</f>
        <v/>
      </c>
      <c r="D808" s="24" t="str">
        <f t="shared" si="21"/>
        <v/>
      </c>
    </row>
    <row r="809" spans="1:4" x14ac:dyDescent="0.25">
      <c r="A809" s="24" t="str">
        <f>IF(AND(OR(字段母版!$N$169&lt;&gt;"",字段母版!$O$169&lt;&gt;"",字段母版!$P$169&lt;&gt;"",字段母版!$Q$169&lt;&gt;""),字段母版!$R$169=""),字段母版!$A$169,"")</f>
        <v/>
      </c>
      <c r="B809" s="24" t="str">
        <f>IF(A809="","",字段母版!$M$169)</f>
        <v/>
      </c>
      <c r="C809" s="24" t="str">
        <f>IF(A809="","",字段母版!$S$169)</f>
        <v/>
      </c>
      <c r="D809" s="24" t="str">
        <f t="shared" si="21"/>
        <v/>
      </c>
    </row>
    <row r="810" spans="1:4" x14ac:dyDescent="0.25">
      <c r="A810" s="24" t="str">
        <f>IF(AND(OR(字段母版!$N$170&lt;&gt;"",字段母版!$O$170&lt;&gt;"",字段母版!$P$170&lt;&gt;"",字段母版!$Q$170&lt;&gt;""),字段母版!$R$170=""),字段母版!$A$170,"")</f>
        <v/>
      </c>
      <c r="B810" s="24" t="str">
        <f>IF(A810="","",字段母版!$M$170)</f>
        <v/>
      </c>
      <c r="C810" s="24" t="str">
        <f>IF(A810="","",字段母版!$S$170)</f>
        <v/>
      </c>
      <c r="D810" s="24" t="str">
        <f t="shared" si="21"/>
        <v/>
      </c>
    </row>
    <row r="811" spans="1:4" x14ac:dyDescent="0.25">
      <c r="A811" s="24" t="str">
        <f>IF(AND(OR(字段母版!$N$171&lt;&gt;"",字段母版!$O$171&lt;&gt;"",字段母版!$P$171&lt;&gt;"",字段母版!$Q$171&lt;&gt;""),字段母版!$R$171=""),字段母版!$A$171,"")</f>
        <v/>
      </c>
      <c r="B811" s="24" t="str">
        <f>IF(A811="","",字段母版!$M$171)</f>
        <v/>
      </c>
      <c r="C811" s="24" t="str">
        <f>IF(A811="","",字段母版!$S$171)</f>
        <v/>
      </c>
      <c r="D811" s="24" t="str">
        <f t="shared" si="21"/>
        <v/>
      </c>
    </row>
    <row r="812" spans="1:4" x14ac:dyDescent="0.25">
      <c r="A812" s="24" t="str">
        <f>IF(AND(OR(字段母版!$N$172&lt;&gt;"",字段母版!$O$172&lt;&gt;"",字段母版!$P$172&lt;&gt;"",字段母版!$Q$172&lt;&gt;""),字段母版!$R$172=""),字段母版!$A$172,"")</f>
        <v/>
      </c>
      <c r="B812" s="24" t="str">
        <f>IF(A812="","",字段母版!$M$172)</f>
        <v/>
      </c>
      <c r="C812" s="24" t="str">
        <f>IF(A812="","",字段母版!$S$172)</f>
        <v/>
      </c>
      <c r="D812" s="24" t="str">
        <f t="shared" si="21"/>
        <v/>
      </c>
    </row>
    <row r="813" spans="1:4" x14ac:dyDescent="0.25">
      <c r="A813" s="24" t="str">
        <f>IF(AND(OR(字段母版!$N$173&lt;&gt;"",字段母版!$O$173&lt;&gt;"",字段母版!$P$173&lt;&gt;"",字段母版!$Q$173&lt;&gt;""),字段母版!$R$173=""),字段母版!$A$173,"")</f>
        <v/>
      </c>
      <c r="B813" s="24" t="str">
        <f>IF(A813="","",字段母版!$M$173)</f>
        <v/>
      </c>
      <c r="C813" s="24" t="str">
        <f>IF(A813="","",字段母版!$S$173)</f>
        <v/>
      </c>
      <c r="D813" s="24" t="str">
        <f t="shared" si="21"/>
        <v/>
      </c>
    </row>
    <row r="814" spans="1:4" x14ac:dyDescent="0.25">
      <c r="A814" s="24" t="str">
        <f>IF(AND(OR(字段母版!$N$174&lt;&gt;"",字段母版!$O$174&lt;&gt;"",字段母版!$P$174&lt;&gt;"",字段母版!$Q$174&lt;&gt;""),字段母版!$R$174=""),字段母版!$A$174,"")</f>
        <v/>
      </c>
      <c r="B814" s="24" t="str">
        <f>IF(A814="","",字段母版!$M$174)</f>
        <v/>
      </c>
      <c r="C814" s="24" t="str">
        <f>IF(A814="","",字段母版!$S$174)</f>
        <v/>
      </c>
      <c r="D814" s="24" t="str">
        <f t="shared" si="21"/>
        <v/>
      </c>
    </row>
    <row r="815" spans="1:4" x14ac:dyDescent="0.25">
      <c r="A815" s="24" t="str">
        <f>IF(AND(OR(字段母版!$N$175&lt;&gt;"",字段母版!$O$175&lt;&gt;"",字段母版!$P$175&lt;&gt;"",字段母版!$Q$175&lt;&gt;""),字段母版!$R$175=""),字段母版!$A$175,"")</f>
        <v/>
      </c>
      <c r="B815" s="24" t="str">
        <f>IF(A815="","",字段母版!$M$175)</f>
        <v/>
      </c>
      <c r="C815" s="24" t="str">
        <f>IF(A815="","",字段母版!$S$175)</f>
        <v/>
      </c>
      <c r="D815" s="24" t="str">
        <f t="shared" si="21"/>
        <v/>
      </c>
    </row>
    <row r="816" spans="1:4" x14ac:dyDescent="0.25">
      <c r="A816" s="24" t="str">
        <f>IF(AND(OR(字段母版!$N$176&lt;&gt;"",字段母版!$O$176&lt;&gt;"",字段母版!$P$176&lt;&gt;"",字段母版!$Q$176&lt;&gt;""),字段母版!$R$176=""),字段母版!$A$176,"")</f>
        <v/>
      </c>
      <c r="B816" s="24" t="str">
        <f>IF(A816="","",字段母版!$M$176)</f>
        <v/>
      </c>
      <c r="C816" s="24" t="str">
        <f>IF(A816="","",字段母版!$S$176)</f>
        <v/>
      </c>
      <c r="D816" s="24" t="str">
        <f t="shared" si="21"/>
        <v/>
      </c>
    </row>
    <row r="817" spans="1:7" x14ac:dyDescent="0.25">
      <c r="A817" s="24" t="str">
        <f>IF(AND(OR(字段母版!$N$177&lt;&gt;"",字段母版!$O$177&lt;&gt;"",字段母版!$P$177&lt;&gt;"",字段母版!$Q$177&lt;&gt;""),字段母版!$R$177=""),字段母版!$A$177,"")</f>
        <v/>
      </c>
      <c r="B817" s="24" t="str">
        <f>IF(A817="","",字段母版!$M$177)</f>
        <v/>
      </c>
      <c r="C817" s="24" t="str">
        <f>IF(A817="","",字段母版!$S$177)</f>
        <v/>
      </c>
      <c r="D817" s="24" t="str">
        <f t="shared" si="21"/>
        <v/>
      </c>
    </row>
    <row r="818" spans="1:7" x14ac:dyDescent="0.25">
      <c r="A818" s="24" t="str">
        <f>IF(AND(OR(字段母版!$N$178&lt;&gt;"",字段母版!$O$178&lt;&gt;"",字段母版!$P$178&lt;&gt;"",字段母版!$Q$178&lt;&gt;""),字段母版!$R$178=""),字段母版!$A$178,"")</f>
        <v/>
      </c>
      <c r="B818" s="24" t="str">
        <f>IF(A818="","",字段母版!$M$178)</f>
        <v/>
      </c>
      <c r="C818" s="24" t="str">
        <f>IF(A818="","",字段母版!$S$178)</f>
        <v/>
      </c>
      <c r="D818" s="24" t="str">
        <f t="shared" si="21"/>
        <v/>
      </c>
    </row>
    <row r="819" spans="1:7" x14ac:dyDescent="0.25">
      <c r="A819" s="24" t="str">
        <f>IF(AND(OR(字段母版!$N$179&lt;&gt;"",字段母版!$O$179&lt;&gt;"",字段母版!$P$179&lt;&gt;"",字段母版!$Q$179&lt;&gt;""),字段母版!$R$179=""),字段母版!$A$179,"")</f>
        <v/>
      </c>
      <c r="B819" s="24" t="str">
        <f>IF(A819="","",字段母版!$M$179)</f>
        <v/>
      </c>
      <c r="C819" s="24" t="str">
        <f>IF(A819="","",字段母版!$S$179)</f>
        <v/>
      </c>
      <c r="D819" s="24" t="str">
        <f t="shared" si="21"/>
        <v/>
      </c>
    </row>
    <row r="820" spans="1:7" x14ac:dyDescent="0.25">
      <c r="A820" s="24" t="str">
        <f>IF(AND(OR(字段母版!$N$180&lt;&gt;"",字段母版!$O$180&lt;&gt;"",字段母版!$P$180&lt;&gt;"",字段母版!$Q$180&lt;&gt;""),字段母版!$R$180=""),字段母版!$A$180,"")</f>
        <v/>
      </c>
      <c r="B820" s="24" t="str">
        <f>IF(A820="","",字段母版!$M$180)</f>
        <v/>
      </c>
      <c r="C820" s="24" t="str">
        <f>IF(A820="","",字段母版!$S$180)</f>
        <v/>
      </c>
      <c r="D820" s="24" t="str">
        <f t="shared" si="21"/>
        <v/>
      </c>
    </row>
    <row r="821" spans="1:7" x14ac:dyDescent="0.25">
      <c r="A821" s="24" t="str">
        <f>IF(AND(OR(字段母版!$N$181&lt;&gt;"",字段母版!$O$181&lt;&gt;"",字段母版!$P$181&lt;&gt;"",字段母版!$Q$181&lt;&gt;""),字段母版!$R$181=""),字段母版!$A$181,"")</f>
        <v/>
      </c>
      <c r="B821" s="24" t="str">
        <f>IF(A821="","",字段母版!$M$181)</f>
        <v/>
      </c>
      <c r="C821" s="24" t="str">
        <f>IF(A821="","",字段母版!$S$181)</f>
        <v/>
      </c>
      <c r="D821" s="24" t="str">
        <f t="shared" si="21"/>
        <v/>
      </c>
    </row>
    <row r="822" spans="1:7" x14ac:dyDescent="0.25">
      <c r="A822" s="24" t="str">
        <f>IF(AND(OR(字段母版!$N$182&lt;&gt;"",字段母版!$O$182&lt;&gt;"",字段母版!$P$182&lt;&gt;"",字段母版!$Q$182&lt;&gt;""),字段母版!$R$182=""),字段母版!$A$182,"")</f>
        <v/>
      </c>
      <c r="B822" s="24" t="str">
        <f>IF(A822="","",字段母版!$M$182)</f>
        <v/>
      </c>
      <c r="C822" s="24" t="str">
        <f>IF(A822="","",字段母版!$S$182)</f>
        <v/>
      </c>
      <c r="D822" s="24" t="str">
        <f t="shared" si="21"/>
        <v/>
      </c>
    </row>
    <row r="823" spans="1:7" x14ac:dyDescent="0.25">
      <c r="A823" s="24" t="str">
        <f>IF(AND(OR(字段母版!$N$183&lt;&gt;"",字段母版!$O$183&lt;&gt;"",字段母版!$P$183&lt;&gt;"",字段母版!$Q$183&lt;&gt;""),字段母版!$R$183=""),字段母版!$A$183,"")</f>
        <v/>
      </c>
      <c r="B823" s="24" t="str">
        <f>IF(A823="","",字段母版!$M$183)</f>
        <v/>
      </c>
      <c r="C823" s="24" t="str">
        <f>IF(A823="","",字段母版!$S$183)</f>
        <v/>
      </c>
      <c r="D823" s="24" t="str">
        <f t="shared" si="21"/>
        <v/>
      </c>
    </row>
    <row r="824" spans="1:7" x14ac:dyDescent="0.25">
      <c r="A824" s="24" t="str">
        <f>IF(AND(OR(字段母版!$N$184&lt;&gt;"",字段母版!$O$184&lt;&gt;"",字段母版!$P$184&lt;&gt;"",字段母版!$Q$184&lt;&gt;""),字段母版!$R$184=""),字段母版!$A$184,"")</f>
        <v/>
      </c>
      <c r="B824" s="24" t="str">
        <f>IF(A824="","",字段母版!$M$184)</f>
        <v/>
      </c>
      <c r="C824" s="24" t="str">
        <f>IF(A824="","",字段母版!$S$184)</f>
        <v/>
      </c>
      <c r="D824" s="24" t="str">
        <f t="shared" si="21"/>
        <v/>
      </c>
    </row>
    <row r="825" spans="1:7" x14ac:dyDescent="0.25">
      <c r="A825" s="24" t="str">
        <f>IF(AND(OR(字段母版!$N$185&lt;&gt;"",字段母版!$O$185&lt;&gt;"",字段母版!$P$185&lt;&gt;"",字段母版!$Q$185&lt;&gt;""),字段母版!$R$185=""),字段母版!$A$185,"")</f>
        <v/>
      </c>
      <c r="B825" s="24" t="str">
        <f>IF(A825="","",字段母版!$M$185)</f>
        <v/>
      </c>
      <c r="C825" s="24" t="str">
        <f>IF(A825="","",字段母版!$S$185)</f>
        <v/>
      </c>
      <c r="D825" s="24" t="str">
        <f t="shared" si="21"/>
        <v/>
      </c>
    </row>
    <row r="826" spans="1:7" x14ac:dyDescent="0.25">
      <c r="A826" s="24" t="str">
        <f>IF(AND(OR(字段母版!$N$186&lt;&gt;"",字段母版!$O$186&lt;&gt;"",字段母版!$P$186&lt;&gt;"",字段母版!$Q$186&lt;&gt;""),字段母版!$R$186=""),字段母版!$A$186,"")</f>
        <v/>
      </c>
      <c r="B826" s="24" t="str">
        <f>IF(A826="","",字段母版!$M$186)</f>
        <v/>
      </c>
      <c r="C826" s="24" t="str">
        <f>IF(A826="","",字段母版!$S$186)</f>
        <v/>
      </c>
      <c r="D826" s="24" t="str">
        <f t="shared" si="21"/>
        <v/>
      </c>
    </row>
    <row r="827" spans="1:7" x14ac:dyDescent="0.25">
      <c r="A827" s="25" t="str">
        <f>IF(AND(OR(字段母版!$N$187&lt;&gt;"",字段母版!$O$187&lt;&gt;"",字段母版!$P$187&lt;&gt;"",字段母版!$Q$187&lt;&gt;""),字段母版!$R$187=""),字段母版!$A$187,"")</f>
        <v/>
      </c>
      <c r="B827" s="25" t="str">
        <f>IF(A827="","",字段母版!$M$187)</f>
        <v/>
      </c>
      <c r="C827" s="25" t="str">
        <f>IF(A827="","",字段母版!$S$187)</f>
        <v/>
      </c>
      <c r="D827" s="25" t="str">
        <f t="shared" si="21"/>
        <v/>
      </c>
    </row>
    <row r="830" spans="1:7" x14ac:dyDescent="0.25">
      <c r="A830" s="87" t="s">
        <v>1229</v>
      </c>
      <c r="B830" s="73"/>
      <c r="C830" s="73"/>
      <c r="D830" s="73"/>
      <c r="E830" s="73"/>
      <c r="F830" s="73"/>
      <c r="G830" s="73"/>
    </row>
    <row r="831" spans="1:7" x14ac:dyDescent="0.25">
      <c r="A831" s="22" t="s">
        <v>1101</v>
      </c>
      <c r="B831" s="22" t="s">
        <v>1102</v>
      </c>
      <c r="C831" s="22" t="s">
        <v>1230</v>
      </c>
      <c r="D831" s="22" t="s">
        <v>1223</v>
      </c>
    </row>
    <row r="832" spans="1:7" x14ac:dyDescent="0.25">
      <c r="A832" s="23" t="str">
        <f>IF(COUNTIF(规则与枚举!$B$5:$B$22,规则与枚举!$B$5)&gt;1,规则与枚举!$A$5,"")</f>
        <v/>
      </c>
      <c r="B832" s="23" t="str">
        <f>IF(A832="","",规则与枚举!$B$5)</f>
        <v/>
      </c>
      <c r="C832" s="23" t="str">
        <f>IF(A832="","",规则与枚举!$E$5)</f>
        <v/>
      </c>
      <c r="D832" s="23" t="str">
        <f t="shared" ref="D832:D849" si="22">IF(A832="","","治理键重复：请核对默认/枚举冲突")</f>
        <v/>
      </c>
    </row>
    <row r="833" spans="1:4" x14ac:dyDescent="0.25">
      <c r="A833" s="24" t="str">
        <f>IF(COUNTIF(规则与枚举!$B$5:$B$22,规则与枚举!$B$6)&gt;1,规则与枚举!$A$6,"")</f>
        <v/>
      </c>
      <c r="B833" s="24" t="str">
        <f>IF(A833="","",规则与枚举!$B$6)</f>
        <v/>
      </c>
      <c r="C833" s="24" t="str">
        <f>IF(A833="","",规则与枚举!$E$6)</f>
        <v/>
      </c>
      <c r="D833" s="24" t="str">
        <f t="shared" si="22"/>
        <v/>
      </c>
    </row>
    <row r="834" spans="1:4" x14ac:dyDescent="0.25">
      <c r="A834" s="24" t="str">
        <f>IF(COUNTIF(规则与枚举!$B$5:$B$22,规则与枚举!$B$7)&gt;1,规则与枚举!$A$7,"")</f>
        <v/>
      </c>
      <c r="B834" s="24" t="str">
        <f>IF(A834="","",规则与枚举!$B$7)</f>
        <v/>
      </c>
      <c r="C834" s="24" t="str">
        <f>IF(A834="","",规则与枚举!$E$7)</f>
        <v/>
      </c>
      <c r="D834" s="24" t="str">
        <f t="shared" si="22"/>
        <v/>
      </c>
    </row>
    <row r="835" spans="1:4" x14ac:dyDescent="0.25">
      <c r="A835" s="24" t="str">
        <f>IF(COUNTIF(规则与枚举!$B$5:$B$22,规则与枚举!$B$8)&gt;1,规则与枚举!$A$8,"")</f>
        <v/>
      </c>
      <c r="B835" s="24" t="str">
        <f>IF(A835="","",规则与枚举!$B$8)</f>
        <v/>
      </c>
      <c r="C835" s="24" t="str">
        <f>IF(A835="","",规则与枚举!$E$8)</f>
        <v/>
      </c>
      <c r="D835" s="24" t="str">
        <f t="shared" si="22"/>
        <v/>
      </c>
    </row>
    <row r="836" spans="1:4" x14ac:dyDescent="0.25">
      <c r="A836" s="24" t="str">
        <f>IF(COUNTIF(规则与枚举!$B$5:$B$22,规则与枚举!$B$9)&gt;1,规则与枚举!$A$9,"")</f>
        <v/>
      </c>
      <c r="B836" s="24" t="str">
        <f>IF(A836="","",规则与枚举!$B$9)</f>
        <v/>
      </c>
      <c r="C836" s="24" t="str">
        <f>IF(A836="","",规则与枚举!$E$9)</f>
        <v/>
      </c>
      <c r="D836" s="24" t="str">
        <f t="shared" si="22"/>
        <v/>
      </c>
    </row>
    <row r="837" spans="1:4" x14ac:dyDescent="0.25">
      <c r="A837" s="24" t="str">
        <f>IF(COUNTIF(规则与枚举!$B$5:$B$22,规则与枚举!$B$10)&gt;1,规则与枚举!$A$10,"")</f>
        <v/>
      </c>
      <c r="B837" s="24" t="str">
        <f>IF(A837="","",规则与枚举!$B$10)</f>
        <v/>
      </c>
      <c r="C837" s="24" t="str">
        <f>IF(A837="","",规则与枚举!$E$10)</f>
        <v/>
      </c>
      <c r="D837" s="24" t="str">
        <f t="shared" si="22"/>
        <v/>
      </c>
    </row>
    <row r="838" spans="1:4" x14ac:dyDescent="0.25">
      <c r="A838" s="24" t="str">
        <f>IF(COUNTIF(规则与枚举!$B$5:$B$22,规则与枚举!$B$11)&gt;1,规则与枚举!$A$11,"")</f>
        <v/>
      </c>
      <c r="B838" s="24" t="str">
        <f>IF(A838="","",规则与枚举!$B$11)</f>
        <v/>
      </c>
      <c r="C838" s="24" t="str">
        <f>IF(A838="","",规则与枚举!$E$11)</f>
        <v/>
      </c>
      <c r="D838" s="24" t="str">
        <f t="shared" si="22"/>
        <v/>
      </c>
    </row>
    <row r="839" spans="1:4" x14ac:dyDescent="0.25">
      <c r="A839" s="24" t="str">
        <f>IF(COUNTIF(规则与枚举!$B$5:$B$22,规则与枚举!$B$12)&gt;1,规则与枚举!$A$12,"")</f>
        <v/>
      </c>
      <c r="B839" s="24" t="str">
        <f>IF(A839="","",规则与枚举!$B$12)</f>
        <v/>
      </c>
      <c r="C839" s="24" t="str">
        <f>IF(A839="","",规则与枚举!$E$12)</f>
        <v/>
      </c>
      <c r="D839" s="24" t="str">
        <f t="shared" si="22"/>
        <v/>
      </c>
    </row>
    <row r="840" spans="1:4" x14ac:dyDescent="0.25">
      <c r="A840" s="24" t="str">
        <f>IF(COUNTIF(规则与枚举!$B$5:$B$22,规则与枚举!$B$13)&gt;1,规则与枚举!$A$13,"")</f>
        <v/>
      </c>
      <c r="B840" s="24" t="str">
        <f>IF(A840="","",规则与枚举!$B$13)</f>
        <v/>
      </c>
      <c r="C840" s="24" t="str">
        <f>IF(A840="","",规则与枚举!$E$13)</f>
        <v/>
      </c>
      <c r="D840" s="24" t="str">
        <f t="shared" si="22"/>
        <v/>
      </c>
    </row>
    <row r="841" spans="1:4" x14ac:dyDescent="0.25">
      <c r="A841" s="24" t="str">
        <f>IF(COUNTIF(规则与枚举!$B$5:$B$22,规则与枚举!$B$14)&gt;1,规则与枚举!$A$14,"")</f>
        <v/>
      </c>
      <c r="B841" s="24" t="str">
        <f>IF(A841="","",规则与枚举!$B$14)</f>
        <v/>
      </c>
      <c r="C841" s="24" t="str">
        <f>IF(A841="","",规则与枚举!$E$14)</f>
        <v/>
      </c>
      <c r="D841" s="24" t="str">
        <f t="shared" si="22"/>
        <v/>
      </c>
    </row>
    <row r="842" spans="1:4" x14ac:dyDescent="0.25">
      <c r="A842" s="24" t="str">
        <f>IF(COUNTIF(规则与枚举!$B$5:$B$22,规则与枚举!$B$15)&gt;1,规则与枚举!$A$15,"")</f>
        <v/>
      </c>
      <c r="B842" s="24" t="str">
        <f>IF(A842="","",规则与枚举!$B$15)</f>
        <v/>
      </c>
      <c r="C842" s="24" t="str">
        <f>IF(A842="","",规则与枚举!$E$15)</f>
        <v/>
      </c>
      <c r="D842" s="24" t="str">
        <f t="shared" si="22"/>
        <v/>
      </c>
    </row>
    <row r="843" spans="1:4" x14ac:dyDescent="0.25">
      <c r="A843" s="24" t="str">
        <f>IF(COUNTIF(规则与枚举!$B$5:$B$22,规则与枚举!$B$16)&gt;1,规则与枚举!$A$16,"")</f>
        <v/>
      </c>
      <c r="B843" s="24" t="str">
        <f>IF(A843="","",规则与枚举!$B$16)</f>
        <v/>
      </c>
      <c r="C843" s="24" t="str">
        <f>IF(A843="","",规则与枚举!$E$16)</f>
        <v/>
      </c>
      <c r="D843" s="24" t="str">
        <f t="shared" si="22"/>
        <v/>
      </c>
    </row>
    <row r="844" spans="1:4" x14ac:dyDescent="0.25">
      <c r="A844" s="24" t="str">
        <f>IF(COUNTIF(规则与枚举!$B$5:$B$22,规则与枚举!$B$17)&gt;1,规则与枚举!$A$17,"")</f>
        <v/>
      </c>
      <c r="B844" s="24" t="str">
        <f>IF(A844="","",规则与枚举!$B$17)</f>
        <v/>
      </c>
      <c r="C844" s="24" t="str">
        <f>IF(A844="","",规则与枚举!$E$17)</f>
        <v/>
      </c>
      <c r="D844" s="24" t="str">
        <f t="shared" si="22"/>
        <v/>
      </c>
    </row>
    <row r="845" spans="1:4" x14ac:dyDescent="0.25">
      <c r="A845" s="24" t="str">
        <f>IF(COUNTIF(规则与枚举!$B$5:$B$22,规则与枚举!$B$18)&gt;1,规则与枚举!$A$18,"")</f>
        <v/>
      </c>
      <c r="B845" s="24" t="str">
        <f>IF(A845="","",规则与枚举!$B$18)</f>
        <v/>
      </c>
      <c r="C845" s="24" t="str">
        <f>IF(A845="","",规则与枚举!$E$18)</f>
        <v/>
      </c>
      <c r="D845" s="24" t="str">
        <f t="shared" si="22"/>
        <v/>
      </c>
    </row>
    <row r="846" spans="1:4" x14ac:dyDescent="0.25">
      <c r="A846" s="24" t="str">
        <f>IF(COUNTIF(规则与枚举!$B$5:$B$22,规则与枚举!$B$19)&gt;1,规则与枚举!$A$19,"")</f>
        <v/>
      </c>
      <c r="B846" s="24" t="str">
        <f>IF(A846="","",规则与枚举!$B$19)</f>
        <v/>
      </c>
      <c r="C846" s="24" t="str">
        <f>IF(A846="","",规则与枚举!$E$19)</f>
        <v/>
      </c>
      <c r="D846" s="24" t="str">
        <f t="shared" si="22"/>
        <v/>
      </c>
    </row>
    <row r="847" spans="1:4" x14ac:dyDescent="0.25">
      <c r="A847" s="24" t="str">
        <f>IF(COUNTIF(规则与枚举!$B$5:$B$22,规则与枚举!$B$20)&gt;1,规则与枚举!$A$20,"")</f>
        <v/>
      </c>
      <c r="B847" s="24" t="str">
        <f>IF(A847="","",规则与枚举!$B$20)</f>
        <v/>
      </c>
      <c r="C847" s="24" t="str">
        <f>IF(A847="","",规则与枚举!$E$20)</f>
        <v/>
      </c>
      <c r="D847" s="24" t="str">
        <f t="shared" si="22"/>
        <v/>
      </c>
    </row>
    <row r="848" spans="1:4" x14ac:dyDescent="0.25">
      <c r="A848" s="24" t="str">
        <f>IF(COUNTIF(规则与枚举!$B$5:$B$22,规则与枚举!$B$21)&gt;1,规则与枚举!$A$21,"")</f>
        <v/>
      </c>
      <c r="B848" s="24" t="str">
        <f>IF(A848="","",规则与枚举!$B$21)</f>
        <v/>
      </c>
      <c r="C848" s="24" t="str">
        <f>IF(A848="","",规则与枚举!$E$21)</f>
        <v/>
      </c>
      <c r="D848" s="24" t="str">
        <f t="shared" si="22"/>
        <v/>
      </c>
    </row>
    <row r="849" spans="1:7" x14ac:dyDescent="0.25">
      <c r="A849" s="25" t="str">
        <f>IF(COUNTIF(规则与枚举!$B$5:$B$22,规则与枚举!$B$22)&gt;1,规则与枚举!$A$22,"")</f>
        <v/>
      </c>
      <c r="B849" s="25" t="str">
        <f>IF(A849="","",规则与枚举!$B$22)</f>
        <v/>
      </c>
      <c r="C849" s="25" t="str">
        <f>IF(A849="","",规则与枚举!$E$22)</f>
        <v/>
      </c>
      <c r="D849" s="25" t="str">
        <f t="shared" si="22"/>
        <v/>
      </c>
    </row>
    <row r="852" spans="1:7" x14ac:dyDescent="0.25">
      <c r="A852" s="87" t="s">
        <v>1231</v>
      </c>
      <c r="B852" s="73"/>
      <c r="C852" s="73"/>
      <c r="D852" s="73"/>
      <c r="E852" s="73"/>
      <c r="F852" s="73"/>
      <c r="G852" s="73"/>
    </row>
    <row r="853" spans="1:7" x14ac:dyDescent="0.25">
      <c r="A853" s="22" t="s">
        <v>776</v>
      </c>
      <c r="B853" s="22" t="s">
        <v>1232</v>
      </c>
      <c r="C853" s="22" t="s">
        <v>1233</v>
      </c>
      <c r="D853" s="22" t="s">
        <v>1223</v>
      </c>
    </row>
    <row r="854" spans="1:7" x14ac:dyDescent="0.25">
      <c r="A854" s="23" t="str">
        <f>IF(OR(COUNTIF('Risk-Control关系'!$A$5:$A$72,'Risk-Control关系'!$A$5)&gt;1,COUNTIF(字段母版!$A$5:$A$191,'Risk-Control关系'!$B$5)=0,COUNTIF(字段母版!$A$5:$A$191,'Risk-Control关系'!$D$5)=0,AND('Risk-Control关系'!$I$5="Y",'Risk-Control关系'!$G$5&lt;&gt;"Y"),AND('Risk-Control关系'!$J$5="Y",'Risk-Control关系'!$H$5&lt;&gt;"Y"),AND('Risk-Control关系'!$R$5&lt;&gt;"",'Risk-Control关系'!$S$5="")),'Risk-Control关系'!$A$5,"")</f>
        <v/>
      </c>
      <c r="B854" s="23" t="str">
        <f>IF(A854="","",'Risk-Control关系'!$B$5&amp;" -&gt; "&amp;'Risk-Control关系'!$D$5)</f>
        <v/>
      </c>
      <c r="C854" s="23" t="str">
        <f>IF(A854="","",'Risk-Control关系'!$M$5)</f>
        <v/>
      </c>
      <c r="D854" s="23" t="str">
        <f>IF(A854="","",IF(COUNTIF('Risk-Control关系'!$A$5:$A$72,'Risk-Control关系'!$A$5)&gt;1,"重复关系",IF(COUNTIF(字段母版!$A$5:$A$191,'Risk-Control关系'!$B$5)=0,"Risk 端点不存在",IF(COUNTIF(字段母版!$A$5:$A$191,'Risk-Control关系'!$D$5)=0,"Control 端点不存在",IF(OR(AND('Risk-Control关系'!$I$5="Y",'Risk-Control关系'!$G$5&lt;&gt;"Y"),AND('Risk-Control关系'!$J$5="Y",'Risk-Control关系'!$H$5&lt;&gt;"Y")),"适用层级冲突","声称映射但缺 v4 证据")))))</f>
        <v/>
      </c>
    </row>
    <row r="855" spans="1:7" x14ac:dyDescent="0.25">
      <c r="A855" s="24" t="str">
        <f>IF(OR(COUNTIF('Risk-Control关系'!$A$5:$A$72,'Risk-Control关系'!$A$6)&gt;1,COUNTIF(字段母版!$A$5:$A$191,'Risk-Control关系'!$B$6)=0,COUNTIF(字段母版!$A$5:$A$191,'Risk-Control关系'!$D$6)=0,AND('Risk-Control关系'!$I$6="Y",'Risk-Control关系'!$G$6&lt;&gt;"Y"),AND('Risk-Control关系'!$J$6="Y",'Risk-Control关系'!$H$6&lt;&gt;"Y"),AND('Risk-Control关系'!$R$6&lt;&gt;"",'Risk-Control关系'!$S$6="")),'Risk-Control关系'!$A$6,"")</f>
        <v/>
      </c>
      <c r="B855" s="24" t="str">
        <f>IF(A855="","",'Risk-Control关系'!$B$6&amp;" -&gt; "&amp;'Risk-Control关系'!$D$6)</f>
        <v/>
      </c>
      <c r="C855" s="24" t="str">
        <f>IF(A855="","",'Risk-Control关系'!$M$6)</f>
        <v/>
      </c>
      <c r="D855" s="24" t="str">
        <f>IF(A855="","",IF(COUNTIF('Risk-Control关系'!$A$5:$A$72,'Risk-Control关系'!$A$6)&gt;1,"重复关系",IF(COUNTIF(字段母版!$A$5:$A$191,'Risk-Control关系'!$B$6)=0,"Risk 端点不存在",IF(COUNTIF(字段母版!$A$5:$A$191,'Risk-Control关系'!$D$6)=0,"Control 端点不存在",IF(OR(AND('Risk-Control关系'!$I$6="Y",'Risk-Control关系'!$G$6&lt;&gt;"Y"),AND('Risk-Control关系'!$J$6="Y",'Risk-Control关系'!$H$6&lt;&gt;"Y")),"适用层级冲突","声称映射但缺 v4 证据")))))</f>
        <v/>
      </c>
    </row>
    <row r="856" spans="1:7" x14ac:dyDescent="0.25">
      <c r="A856" s="24" t="str">
        <f>IF(OR(COUNTIF('Risk-Control关系'!$A$5:$A$72,'Risk-Control关系'!$A$7)&gt;1,COUNTIF(字段母版!$A$5:$A$191,'Risk-Control关系'!$B$7)=0,COUNTIF(字段母版!$A$5:$A$191,'Risk-Control关系'!$D$7)=0,AND('Risk-Control关系'!$I$7="Y",'Risk-Control关系'!$G$7&lt;&gt;"Y"),AND('Risk-Control关系'!$J$7="Y",'Risk-Control关系'!$H$7&lt;&gt;"Y"),AND('Risk-Control关系'!$R$7&lt;&gt;"",'Risk-Control关系'!$S$7="")),'Risk-Control关系'!$A$7,"")</f>
        <v/>
      </c>
      <c r="B856" s="24" t="str">
        <f>IF(A856="","",'Risk-Control关系'!$B$7&amp;" -&gt; "&amp;'Risk-Control关系'!$D$7)</f>
        <v/>
      </c>
      <c r="C856" s="24" t="str">
        <f>IF(A856="","",'Risk-Control关系'!$M$7)</f>
        <v/>
      </c>
      <c r="D856" s="24" t="str">
        <f>IF(A856="","",IF(COUNTIF('Risk-Control关系'!$A$5:$A$72,'Risk-Control关系'!$A$7)&gt;1,"重复关系",IF(COUNTIF(字段母版!$A$5:$A$191,'Risk-Control关系'!$B$7)=0,"Risk 端点不存在",IF(COUNTIF(字段母版!$A$5:$A$191,'Risk-Control关系'!$D$7)=0,"Control 端点不存在",IF(OR(AND('Risk-Control关系'!$I$7="Y",'Risk-Control关系'!$G$7&lt;&gt;"Y"),AND('Risk-Control关系'!$J$7="Y",'Risk-Control关系'!$H$7&lt;&gt;"Y")),"适用层级冲突","声称映射但缺 v4 证据")))))</f>
        <v/>
      </c>
    </row>
    <row r="857" spans="1:7" x14ac:dyDescent="0.25">
      <c r="A857" s="24" t="str">
        <f>IF(OR(COUNTIF('Risk-Control关系'!$A$5:$A$72,'Risk-Control关系'!$A$8)&gt;1,COUNTIF(字段母版!$A$5:$A$191,'Risk-Control关系'!$B$8)=0,COUNTIF(字段母版!$A$5:$A$191,'Risk-Control关系'!$D$8)=0,AND('Risk-Control关系'!$I$8="Y",'Risk-Control关系'!$G$8&lt;&gt;"Y"),AND('Risk-Control关系'!$J$8="Y",'Risk-Control关系'!$H$8&lt;&gt;"Y"),AND('Risk-Control关系'!$R$8&lt;&gt;"",'Risk-Control关系'!$S$8="")),'Risk-Control关系'!$A$8,"")</f>
        <v/>
      </c>
      <c r="B857" s="24" t="str">
        <f>IF(A857="","",'Risk-Control关系'!$B$8&amp;" -&gt; "&amp;'Risk-Control关系'!$D$8)</f>
        <v/>
      </c>
      <c r="C857" s="24" t="str">
        <f>IF(A857="","",'Risk-Control关系'!$M$8)</f>
        <v/>
      </c>
      <c r="D857" s="24" t="str">
        <f>IF(A857="","",IF(COUNTIF('Risk-Control关系'!$A$5:$A$72,'Risk-Control关系'!$A$8)&gt;1,"重复关系",IF(COUNTIF(字段母版!$A$5:$A$191,'Risk-Control关系'!$B$8)=0,"Risk 端点不存在",IF(COUNTIF(字段母版!$A$5:$A$191,'Risk-Control关系'!$D$8)=0,"Control 端点不存在",IF(OR(AND('Risk-Control关系'!$I$8="Y",'Risk-Control关系'!$G$8&lt;&gt;"Y"),AND('Risk-Control关系'!$J$8="Y",'Risk-Control关系'!$H$8&lt;&gt;"Y")),"适用层级冲突","声称映射但缺 v4 证据")))))</f>
        <v/>
      </c>
    </row>
    <row r="858" spans="1:7" x14ac:dyDescent="0.25">
      <c r="A858" s="24" t="str">
        <f>IF(OR(COUNTIF('Risk-Control关系'!$A$5:$A$72,'Risk-Control关系'!$A$9)&gt;1,COUNTIF(字段母版!$A$5:$A$191,'Risk-Control关系'!$B$9)=0,COUNTIF(字段母版!$A$5:$A$191,'Risk-Control关系'!$D$9)=0,AND('Risk-Control关系'!$I$9="Y",'Risk-Control关系'!$G$9&lt;&gt;"Y"),AND('Risk-Control关系'!$J$9="Y",'Risk-Control关系'!$H$9&lt;&gt;"Y"),AND('Risk-Control关系'!$R$9&lt;&gt;"",'Risk-Control关系'!$S$9="")),'Risk-Control关系'!$A$9,"")</f>
        <v/>
      </c>
      <c r="B858" s="24" t="str">
        <f>IF(A858="","",'Risk-Control关系'!$B$9&amp;" -&gt; "&amp;'Risk-Control关系'!$D$9)</f>
        <v/>
      </c>
      <c r="C858" s="24" t="str">
        <f>IF(A858="","",'Risk-Control关系'!$M$9)</f>
        <v/>
      </c>
      <c r="D858" s="24" t="str">
        <f>IF(A858="","",IF(COUNTIF('Risk-Control关系'!$A$5:$A$72,'Risk-Control关系'!$A$9)&gt;1,"重复关系",IF(COUNTIF(字段母版!$A$5:$A$191,'Risk-Control关系'!$B$9)=0,"Risk 端点不存在",IF(COUNTIF(字段母版!$A$5:$A$191,'Risk-Control关系'!$D$9)=0,"Control 端点不存在",IF(OR(AND('Risk-Control关系'!$I$9="Y",'Risk-Control关系'!$G$9&lt;&gt;"Y"),AND('Risk-Control关系'!$J$9="Y",'Risk-Control关系'!$H$9&lt;&gt;"Y")),"适用层级冲突","声称映射但缺 v4 证据")))))</f>
        <v/>
      </c>
    </row>
    <row r="859" spans="1:7" x14ac:dyDescent="0.25">
      <c r="A859" s="24" t="str">
        <f>IF(OR(COUNTIF('Risk-Control关系'!$A$5:$A$72,'Risk-Control关系'!$A$10)&gt;1,COUNTIF(字段母版!$A$5:$A$191,'Risk-Control关系'!$B$10)=0,COUNTIF(字段母版!$A$5:$A$191,'Risk-Control关系'!$D$10)=0,AND('Risk-Control关系'!$I$10="Y",'Risk-Control关系'!$G$10&lt;&gt;"Y"),AND('Risk-Control关系'!$J$10="Y",'Risk-Control关系'!$H$10&lt;&gt;"Y"),AND('Risk-Control关系'!$R$10&lt;&gt;"",'Risk-Control关系'!$S$10="")),'Risk-Control关系'!$A$10,"")</f>
        <v/>
      </c>
      <c r="B859" s="24" t="str">
        <f>IF(A859="","",'Risk-Control关系'!$B$10&amp;" -&gt; "&amp;'Risk-Control关系'!$D$10)</f>
        <v/>
      </c>
      <c r="C859" s="24" t="str">
        <f>IF(A859="","",'Risk-Control关系'!$M$10)</f>
        <v/>
      </c>
      <c r="D859" s="24" t="str">
        <f>IF(A859="","",IF(COUNTIF('Risk-Control关系'!$A$5:$A$72,'Risk-Control关系'!$A$10)&gt;1,"重复关系",IF(COUNTIF(字段母版!$A$5:$A$191,'Risk-Control关系'!$B$10)=0,"Risk 端点不存在",IF(COUNTIF(字段母版!$A$5:$A$191,'Risk-Control关系'!$D$10)=0,"Control 端点不存在",IF(OR(AND('Risk-Control关系'!$I$10="Y",'Risk-Control关系'!$G$10&lt;&gt;"Y"),AND('Risk-Control关系'!$J$10="Y",'Risk-Control关系'!$H$10&lt;&gt;"Y")),"适用层级冲突","声称映射但缺 v4 证据")))))</f>
        <v/>
      </c>
    </row>
    <row r="860" spans="1:7" x14ac:dyDescent="0.25">
      <c r="A860" s="24" t="str">
        <f>IF(OR(COUNTIF('Risk-Control关系'!$A$5:$A$72,'Risk-Control关系'!$A$11)&gt;1,COUNTIF(字段母版!$A$5:$A$191,'Risk-Control关系'!$B$11)=0,COUNTIF(字段母版!$A$5:$A$191,'Risk-Control关系'!$D$11)=0,AND('Risk-Control关系'!$I$11="Y",'Risk-Control关系'!$G$11&lt;&gt;"Y"),AND('Risk-Control关系'!$J$11="Y",'Risk-Control关系'!$H$11&lt;&gt;"Y"),AND('Risk-Control关系'!$R$11&lt;&gt;"",'Risk-Control关系'!$S$11="")),'Risk-Control关系'!$A$11,"")</f>
        <v/>
      </c>
      <c r="B860" s="24" t="str">
        <f>IF(A860="","",'Risk-Control关系'!$B$11&amp;" -&gt; "&amp;'Risk-Control关系'!$D$11)</f>
        <v/>
      </c>
      <c r="C860" s="24" t="str">
        <f>IF(A860="","",'Risk-Control关系'!$M$11)</f>
        <v/>
      </c>
      <c r="D860" s="24" t="str">
        <f>IF(A860="","",IF(COUNTIF('Risk-Control关系'!$A$5:$A$72,'Risk-Control关系'!$A$11)&gt;1,"重复关系",IF(COUNTIF(字段母版!$A$5:$A$191,'Risk-Control关系'!$B$11)=0,"Risk 端点不存在",IF(COUNTIF(字段母版!$A$5:$A$191,'Risk-Control关系'!$D$11)=0,"Control 端点不存在",IF(OR(AND('Risk-Control关系'!$I$11="Y",'Risk-Control关系'!$G$11&lt;&gt;"Y"),AND('Risk-Control关系'!$J$11="Y",'Risk-Control关系'!$H$11&lt;&gt;"Y")),"适用层级冲突","声称映射但缺 v4 证据")))))</f>
        <v/>
      </c>
    </row>
    <row r="861" spans="1:7" x14ac:dyDescent="0.25">
      <c r="A861" s="24" t="str">
        <f>IF(OR(COUNTIF('Risk-Control关系'!$A$5:$A$72,'Risk-Control关系'!$A$12)&gt;1,COUNTIF(字段母版!$A$5:$A$191,'Risk-Control关系'!$B$12)=0,COUNTIF(字段母版!$A$5:$A$191,'Risk-Control关系'!$D$12)=0,AND('Risk-Control关系'!$I$12="Y",'Risk-Control关系'!$G$12&lt;&gt;"Y"),AND('Risk-Control关系'!$J$12="Y",'Risk-Control关系'!$H$12&lt;&gt;"Y"),AND('Risk-Control关系'!$R$12&lt;&gt;"",'Risk-Control关系'!$S$12="")),'Risk-Control关系'!$A$12,"")</f>
        <v/>
      </c>
      <c r="B861" s="24" t="str">
        <f>IF(A861="","",'Risk-Control关系'!$B$12&amp;" -&gt; "&amp;'Risk-Control关系'!$D$12)</f>
        <v/>
      </c>
      <c r="C861" s="24" t="str">
        <f>IF(A861="","",'Risk-Control关系'!$M$12)</f>
        <v/>
      </c>
      <c r="D861" s="24" t="str">
        <f>IF(A861="","",IF(COUNTIF('Risk-Control关系'!$A$5:$A$72,'Risk-Control关系'!$A$12)&gt;1,"重复关系",IF(COUNTIF(字段母版!$A$5:$A$191,'Risk-Control关系'!$B$12)=0,"Risk 端点不存在",IF(COUNTIF(字段母版!$A$5:$A$191,'Risk-Control关系'!$D$12)=0,"Control 端点不存在",IF(OR(AND('Risk-Control关系'!$I$12="Y",'Risk-Control关系'!$G$12&lt;&gt;"Y"),AND('Risk-Control关系'!$J$12="Y",'Risk-Control关系'!$H$12&lt;&gt;"Y")),"适用层级冲突","声称映射但缺 v4 证据")))))</f>
        <v/>
      </c>
    </row>
    <row r="862" spans="1:7" x14ac:dyDescent="0.25">
      <c r="A862" s="24" t="str">
        <f>IF(OR(COUNTIF('Risk-Control关系'!$A$5:$A$72,'Risk-Control关系'!$A$13)&gt;1,COUNTIF(字段母版!$A$5:$A$191,'Risk-Control关系'!$B$13)=0,COUNTIF(字段母版!$A$5:$A$191,'Risk-Control关系'!$D$13)=0,AND('Risk-Control关系'!$I$13="Y",'Risk-Control关系'!$G$13&lt;&gt;"Y"),AND('Risk-Control关系'!$J$13="Y",'Risk-Control关系'!$H$13&lt;&gt;"Y"),AND('Risk-Control关系'!$R$13&lt;&gt;"",'Risk-Control关系'!$S$13="")),'Risk-Control关系'!$A$13,"")</f>
        <v/>
      </c>
      <c r="B862" s="24" t="str">
        <f>IF(A862="","",'Risk-Control关系'!$B$13&amp;" -&gt; "&amp;'Risk-Control关系'!$D$13)</f>
        <v/>
      </c>
      <c r="C862" s="24" t="str">
        <f>IF(A862="","",'Risk-Control关系'!$M$13)</f>
        <v/>
      </c>
      <c r="D862" s="24" t="str">
        <f>IF(A862="","",IF(COUNTIF('Risk-Control关系'!$A$5:$A$72,'Risk-Control关系'!$A$13)&gt;1,"重复关系",IF(COUNTIF(字段母版!$A$5:$A$191,'Risk-Control关系'!$B$13)=0,"Risk 端点不存在",IF(COUNTIF(字段母版!$A$5:$A$191,'Risk-Control关系'!$D$13)=0,"Control 端点不存在",IF(OR(AND('Risk-Control关系'!$I$13="Y",'Risk-Control关系'!$G$13&lt;&gt;"Y"),AND('Risk-Control关系'!$J$13="Y",'Risk-Control关系'!$H$13&lt;&gt;"Y")),"适用层级冲突","声称映射但缺 v4 证据")))))</f>
        <v/>
      </c>
    </row>
    <row r="863" spans="1:7" x14ac:dyDescent="0.25">
      <c r="A863" s="24" t="str">
        <f>IF(OR(COUNTIF('Risk-Control关系'!$A$5:$A$72,'Risk-Control关系'!$A$14)&gt;1,COUNTIF(字段母版!$A$5:$A$191,'Risk-Control关系'!$B$14)=0,COUNTIF(字段母版!$A$5:$A$191,'Risk-Control关系'!$D$14)=0,AND('Risk-Control关系'!$I$14="Y",'Risk-Control关系'!$G$14&lt;&gt;"Y"),AND('Risk-Control关系'!$J$14="Y",'Risk-Control关系'!$H$14&lt;&gt;"Y"),AND('Risk-Control关系'!$R$14&lt;&gt;"",'Risk-Control关系'!$S$14="")),'Risk-Control关系'!$A$14,"")</f>
        <v/>
      </c>
      <c r="B863" s="24" t="str">
        <f>IF(A863="","",'Risk-Control关系'!$B$14&amp;" -&gt; "&amp;'Risk-Control关系'!$D$14)</f>
        <v/>
      </c>
      <c r="C863" s="24" t="str">
        <f>IF(A863="","",'Risk-Control关系'!$M$14)</f>
        <v/>
      </c>
      <c r="D863" s="24" t="str">
        <f>IF(A863="","",IF(COUNTIF('Risk-Control关系'!$A$5:$A$72,'Risk-Control关系'!$A$14)&gt;1,"重复关系",IF(COUNTIF(字段母版!$A$5:$A$191,'Risk-Control关系'!$B$14)=0,"Risk 端点不存在",IF(COUNTIF(字段母版!$A$5:$A$191,'Risk-Control关系'!$D$14)=0,"Control 端点不存在",IF(OR(AND('Risk-Control关系'!$I$14="Y",'Risk-Control关系'!$G$14&lt;&gt;"Y"),AND('Risk-Control关系'!$J$14="Y",'Risk-Control关系'!$H$14&lt;&gt;"Y")),"适用层级冲突","声称映射但缺 v4 证据")))))</f>
        <v/>
      </c>
    </row>
    <row r="864" spans="1:7" x14ac:dyDescent="0.25">
      <c r="A864" s="24" t="str">
        <f>IF(OR(COUNTIF('Risk-Control关系'!$A$5:$A$72,'Risk-Control关系'!$A$15)&gt;1,COUNTIF(字段母版!$A$5:$A$191,'Risk-Control关系'!$B$15)=0,COUNTIF(字段母版!$A$5:$A$191,'Risk-Control关系'!$D$15)=0,AND('Risk-Control关系'!$I$15="Y",'Risk-Control关系'!$G$15&lt;&gt;"Y"),AND('Risk-Control关系'!$J$15="Y",'Risk-Control关系'!$H$15&lt;&gt;"Y"),AND('Risk-Control关系'!$R$15&lt;&gt;"",'Risk-Control关系'!$S$15="")),'Risk-Control关系'!$A$15,"")</f>
        <v/>
      </c>
      <c r="B864" s="24" t="str">
        <f>IF(A864="","",'Risk-Control关系'!$B$15&amp;" -&gt; "&amp;'Risk-Control关系'!$D$15)</f>
        <v/>
      </c>
      <c r="C864" s="24" t="str">
        <f>IF(A864="","",'Risk-Control关系'!$M$15)</f>
        <v/>
      </c>
      <c r="D864" s="24" t="str">
        <f>IF(A864="","",IF(COUNTIF('Risk-Control关系'!$A$5:$A$72,'Risk-Control关系'!$A$15)&gt;1,"重复关系",IF(COUNTIF(字段母版!$A$5:$A$191,'Risk-Control关系'!$B$15)=0,"Risk 端点不存在",IF(COUNTIF(字段母版!$A$5:$A$191,'Risk-Control关系'!$D$15)=0,"Control 端点不存在",IF(OR(AND('Risk-Control关系'!$I$15="Y",'Risk-Control关系'!$G$15&lt;&gt;"Y"),AND('Risk-Control关系'!$J$15="Y",'Risk-Control关系'!$H$15&lt;&gt;"Y")),"适用层级冲突","声称映射但缺 v4 证据")))))</f>
        <v/>
      </c>
    </row>
    <row r="865" spans="1:4" x14ac:dyDescent="0.25">
      <c r="A865" s="24" t="str">
        <f>IF(OR(COUNTIF('Risk-Control关系'!$A$5:$A$72,'Risk-Control关系'!$A$16)&gt;1,COUNTIF(字段母版!$A$5:$A$191,'Risk-Control关系'!$B$16)=0,COUNTIF(字段母版!$A$5:$A$191,'Risk-Control关系'!$D$16)=0,AND('Risk-Control关系'!$I$16="Y",'Risk-Control关系'!$G$16&lt;&gt;"Y"),AND('Risk-Control关系'!$J$16="Y",'Risk-Control关系'!$H$16&lt;&gt;"Y"),AND('Risk-Control关系'!$R$16&lt;&gt;"",'Risk-Control关系'!$S$16="")),'Risk-Control关系'!$A$16,"")</f>
        <v/>
      </c>
      <c r="B865" s="24" t="str">
        <f>IF(A865="","",'Risk-Control关系'!$B$16&amp;" -&gt; "&amp;'Risk-Control关系'!$D$16)</f>
        <v/>
      </c>
      <c r="C865" s="24" t="str">
        <f>IF(A865="","",'Risk-Control关系'!$M$16)</f>
        <v/>
      </c>
      <c r="D865" s="24" t="str">
        <f>IF(A865="","",IF(COUNTIF('Risk-Control关系'!$A$5:$A$72,'Risk-Control关系'!$A$16)&gt;1,"重复关系",IF(COUNTIF(字段母版!$A$5:$A$191,'Risk-Control关系'!$B$16)=0,"Risk 端点不存在",IF(COUNTIF(字段母版!$A$5:$A$191,'Risk-Control关系'!$D$16)=0,"Control 端点不存在",IF(OR(AND('Risk-Control关系'!$I$16="Y",'Risk-Control关系'!$G$16&lt;&gt;"Y"),AND('Risk-Control关系'!$J$16="Y",'Risk-Control关系'!$H$16&lt;&gt;"Y")),"适用层级冲突","声称映射但缺 v4 证据")))))</f>
        <v/>
      </c>
    </row>
    <row r="866" spans="1:4" x14ac:dyDescent="0.25">
      <c r="A866" s="24" t="str">
        <f>IF(OR(COUNTIF('Risk-Control关系'!$A$5:$A$72,'Risk-Control关系'!$A$17)&gt;1,COUNTIF(字段母版!$A$5:$A$191,'Risk-Control关系'!$B$17)=0,COUNTIF(字段母版!$A$5:$A$191,'Risk-Control关系'!$D$17)=0,AND('Risk-Control关系'!$I$17="Y",'Risk-Control关系'!$G$17&lt;&gt;"Y"),AND('Risk-Control关系'!$J$17="Y",'Risk-Control关系'!$H$17&lt;&gt;"Y"),AND('Risk-Control关系'!$R$17&lt;&gt;"",'Risk-Control关系'!$S$17="")),'Risk-Control关系'!$A$17,"")</f>
        <v/>
      </c>
      <c r="B866" s="24" t="str">
        <f>IF(A866="","",'Risk-Control关系'!$B$17&amp;" -&gt; "&amp;'Risk-Control关系'!$D$17)</f>
        <v/>
      </c>
      <c r="C866" s="24" t="str">
        <f>IF(A866="","",'Risk-Control关系'!$M$17)</f>
        <v/>
      </c>
      <c r="D866" s="24" t="str">
        <f>IF(A866="","",IF(COUNTIF('Risk-Control关系'!$A$5:$A$72,'Risk-Control关系'!$A$17)&gt;1,"重复关系",IF(COUNTIF(字段母版!$A$5:$A$191,'Risk-Control关系'!$B$17)=0,"Risk 端点不存在",IF(COUNTIF(字段母版!$A$5:$A$191,'Risk-Control关系'!$D$17)=0,"Control 端点不存在",IF(OR(AND('Risk-Control关系'!$I$17="Y",'Risk-Control关系'!$G$17&lt;&gt;"Y"),AND('Risk-Control关系'!$J$17="Y",'Risk-Control关系'!$H$17&lt;&gt;"Y")),"适用层级冲突","声称映射但缺 v4 证据")))))</f>
        <v/>
      </c>
    </row>
    <row r="867" spans="1:4" x14ac:dyDescent="0.25">
      <c r="A867" s="24" t="str">
        <f>IF(OR(COUNTIF('Risk-Control关系'!$A$5:$A$72,'Risk-Control关系'!$A$18)&gt;1,COUNTIF(字段母版!$A$5:$A$191,'Risk-Control关系'!$B$18)=0,COUNTIF(字段母版!$A$5:$A$191,'Risk-Control关系'!$D$18)=0,AND('Risk-Control关系'!$I$18="Y",'Risk-Control关系'!$G$18&lt;&gt;"Y"),AND('Risk-Control关系'!$J$18="Y",'Risk-Control关系'!$H$18&lt;&gt;"Y"),AND('Risk-Control关系'!$R$18&lt;&gt;"",'Risk-Control关系'!$S$18="")),'Risk-Control关系'!$A$18,"")</f>
        <v/>
      </c>
      <c r="B867" s="24" t="str">
        <f>IF(A867="","",'Risk-Control关系'!$B$18&amp;" -&gt; "&amp;'Risk-Control关系'!$D$18)</f>
        <v/>
      </c>
      <c r="C867" s="24" t="str">
        <f>IF(A867="","",'Risk-Control关系'!$M$18)</f>
        <v/>
      </c>
      <c r="D867" s="24" t="str">
        <f>IF(A867="","",IF(COUNTIF('Risk-Control关系'!$A$5:$A$72,'Risk-Control关系'!$A$18)&gt;1,"重复关系",IF(COUNTIF(字段母版!$A$5:$A$191,'Risk-Control关系'!$B$18)=0,"Risk 端点不存在",IF(COUNTIF(字段母版!$A$5:$A$191,'Risk-Control关系'!$D$18)=0,"Control 端点不存在",IF(OR(AND('Risk-Control关系'!$I$18="Y",'Risk-Control关系'!$G$18&lt;&gt;"Y"),AND('Risk-Control关系'!$J$18="Y",'Risk-Control关系'!$H$18&lt;&gt;"Y")),"适用层级冲突","声称映射但缺 v4 证据")))))</f>
        <v/>
      </c>
    </row>
    <row r="868" spans="1:4" x14ac:dyDescent="0.25">
      <c r="A868" s="24" t="str">
        <f>IF(OR(COUNTIF('Risk-Control关系'!$A$5:$A$72,'Risk-Control关系'!$A$19)&gt;1,COUNTIF(字段母版!$A$5:$A$191,'Risk-Control关系'!$B$19)=0,COUNTIF(字段母版!$A$5:$A$191,'Risk-Control关系'!$D$19)=0,AND('Risk-Control关系'!$I$19="Y",'Risk-Control关系'!$G$19&lt;&gt;"Y"),AND('Risk-Control关系'!$J$19="Y",'Risk-Control关系'!$H$19&lt;&gt;"Y"),AND('Risk-Control关系'!$R$19&lt;&gt;"",'Risk-Control关系'!$S$19="")),'Risk-Control关系'!$A$19,"")</f>
        <v/>
      </c>
      <c r="B868" s="24" t="str">
        <f>IF(A868="","",'Risk-Control关系'!$B$19&amp;" -&gt; "&amp;'Risk-Control关系'!$D$19)</f>
        <v/>
      </c>
      <c r="C868" s="24" t="str">
        <f>IF(A868="","",'Risk-Control关系'!$M$19)</f>
        <v/>
      </c>
      <c r="D868" s="24" t="str">
        <f>IF(A868="","",IF(COUNTIF('Risk-Control关系'!$A$5:$A$72,'Risk-Control关系'!$A$19)&gt;1,"重复关系",IF(COUNTIF(字段母版!$A$5:$A$191,'Risk-Control关系'!$B$19)=0,"Risk 端点不存在",IF(COUNTIF(字段母版!$A$5:$A$191,'Risk-Control关系'!$D$19)=0,"Control 端点不存在",IF(OR(AND('Risk-Control关系'!$I$19="Y",'Risk-Control关系'!$G$19&lt;&gt;"Y"),AND('Risk-Control关系'!$J$19="Y",'Risk-Control关系'!$H$19&lt;&gt;"Y")),"适用层级冲突","声称映射但缺 v4 证据")))))</f>
        <v/>
      </c>
    </row>
    <row r="869" spans="1:4" x14ac:dyDescent="0.25">
      <c r="A869" s="24" t="str">
        <f>IF(OR(COUNTIF('Risk-Control关系'!$A$5:$A$72,'Risk-Control关系'!$A$20)&gt;1,COUNTIF(字段母版!$A$5:$A$191,'Risk-Control关系'!$B$20)=0,COUNTIF(字段母版!$A$5:$A$191,'Risk-Control关系'!$D$20)=0,AND('Risk-Control关系'!$I$20="Y",'Risk-Control关系'!$G$20&lt;&gt;"Y"),AND('Risk-Control关系'!$J$20="Y",'Risk-Control关系'!$H$20&lt;&gt;"Y"),AND('Risk-Control关系'!$R$20&lt;&gt;"",'Risk-Control关系'!$S$20="")),'Risk-Control关系'!$A$20,"")</f>
        <v/>
      </c>
      <c r="B869" s="24" t="str">
        <f>IF(A869="","",'Risk-Control关系'!$B$20&amp;" -&gt; "&amp;'Risk-Control关系'!$D$20)</f>
        <v/>
      </c>
      <c r="C869" s="24" t="str">
        <f>IF(A869="","",'Risk-Control关系'!$M$20)</f>
        <v/>
      </c>
      <c r="D869" s="24" t="str">
        <f>IF(A869="","",IF(COUNTIF('Risk-Control关系'!$A$5:$A$72,'Risk-Control关系'!$A$20)&gt;1,"重复关系",IF(COUNTIF(字段母版!$A$5:$A$191,'Risk-Control关系'!$B$20)=0,"Risk 端点不存在",IF(COUNTIF(字段母版!$A$5:$A$191,'Risk-Control关系'!$D$20)=0,"Control 端点不存在",IF(OR(AND('Risk-Control关系'!$I$20="Y",'Risk-Control关系'!$G$20&lt;&gt;"Y"),AND('Risk-Control关系'!$J$20="Y",'Risk-Control关系'!$H$20&lt;&gt;"Y")),"适用层级冲突","声称映射但缺 v4 证据")))))</f>
        <v/>
      </c>
    </row>
    <row r="870" spans="1:4" x14ac:dyDescent="0.25">
      <c r="A870" s="24" t="str">
        <f>IF(OR(COUNTIF('Risk-Control关系'!$A$5:$A$72,'Risk-Control关系'!$A$21)&gt;1,COUNTIF(字段母版!$A$5:$A$191,'Risk-Control关系'!$B$21)=0,COUNTIF(字段母版!$A$5:$A$191,'Risk-Control关系'!$D$21)=0,AND('Risk-Control关系'!$I$21="Y",'Risk-Control关系'!$G$21&lt;&gt;"Y"),AND('Risk-Control关系'!$J$21="Y",'Risk-Control关系'!$H$21&lt;&gt;"Y"),AND('Risk-Control关系'!$R$21&lt;&gt;"",'Risk-Control关系'!$S$21="")),'Risk-Control关系'!$A$21,"")</f>
        <v/>
      </c>
      <c r="B870" s="24" t="str">
        <f>IF(A870="","",'Risk-Control关系'!$B$21&amp;" -&gt; "&amp;'Risk-Control关系'!$D$21)</f>
        <v/>
      </c>
      <c r="C870" s="24" t="str">
        <f>IF(A870="","",'Risk-Control关系'!$M$21)</f>
        <v/>
      </c>
      <c r="D870" s="24" t="str">
        <f>IF(A870="","",IF(COUNTIF('Risk-Control关系'!$A$5:$A$72,'Risk-Control关系'!$A$21)&gt;1,"重复关系",IF(COUNTIF(字段母版!$A$5:$A$191,'Risk-Control关系'!$B$21)=0,"Risk 端点不存在",IF(COUNTIF(字段母版!$A$5:$A$191,'Risk-Control关系'!$D$21)=0,"Control 端点不存在",IF(OR(AND('Risk-Control关系'!$I$21="Y",'Risk-Control关系'!$G$21&lt;&gt;"Y"),AND('Risk-Control关系'!$J$21="Y",'Risk-Control关系'!$H$21&lt;&gt;"Y")),"适用层级冲突","声称映射但缺 v4 证据")))))</f>
        <v/>
      </c>
    </row>
    <row r="871" spans="1:4" x14ac:dyDescent="0.25">
      <c r="A871" s="24" t="str">
        <f>IF(OR(COUNTIF('Risk-Control关系'!$A$5:$A$72,'Risk-Control关系'!$A$22)&gt;1,COUNTIF(字段母版!$A$5:$A$191,'Risk-Control关系'!$B$22)=0,COUNTIF(字段母版!$A$5:$A$191,'Risk-Control关系'!$D$22)=0,AND('Risk-Control关系'!$I$22="Y",'Risk-Control关系'!$G$22&lt;&gt;"Y"),AND('Risk-Control关系'!$J$22="Y",'Risk-Control关系'!$H$22&lt;&gt;"Y"),AND('Risk-Control关系'!$R$22&lt;&gt;"",'Risk-Control关系'!$S$22="")),'Risk-Control关系'!$A$22,"")</f>
        <v/>
      </c>
      <c r="B871" s="24" t="str">
        <f>IF(A871="","",'Risk-Control关系'!$B$22&amp;" -&gt; "&amp;'Risk-Control关系'!$D$22)</f>
        <v/>
      </c>
      <c r="C871" s="24" t="str">
        <f>IF(A871="","",'Risk-Control关系'!$M$22)</f>
        <v/>
      </c>
      <c r="D871" s="24" t="str">
        <f>IF(A871="","",IF(COUNTIF('Risk-Control关系'!$A$5:$A$72,'Risk-Control关系'!$A$22)&gt;1,"重复关系",IF(COUNTIF(字段母版!$A$5:$A$191,'Risk-Control关系'!$B$22)=0,"Risk 端点不存在",IF(COUNTIF(字段母版!$A$5:$A$191,'Risk-Control关系'!$D$22)=0,"Control 端点不存在",IF(OR(AND('Risk-Control关系'!$I$22="Y",'Risk-Control关系'!$G$22&lt;&gt;"Y"),AND('Risk-Control关系'!$J$22="Y",'Risk-Control关系'!$H$22&lt;&gt;"Y")),"适用层级冲突","声称映射但缺 v4 证据")))))</f>
        <v/>
      </c>
    </row>
    <row r="872" spans="1:4" x14ac:dyDescent="0.25">
      <c r="A872" s="24" t="str">
        <f>IF(OR(COUNTIF('Risk-Control关系'!$A$5:$A$72,'Risk-Control关系'!$A$23)&gt;1,COUNTIF(字段母版!$A$5:$A$191,'Risk-Control关系'!$B$23)=0,COUNTIF(字段母版!$A$5:$A$191,'Risk-Control关系'!$D$23)=0,AND('Risk-Control关系'!$I$23="Y",'Risk-Control关系'!$G$23&lt;&gt;"Y"),AND('Risk-Control关系'!$J$23="Y",'Risk-Control关系'!$H$23&lt;&gt;"Y"),AND('Risk-Control关系'!$R$23&lt;&gt;"",'Risk-Control关系'!$S$23="")),'Risk-Control关系'!$A$23,"")</f>
        <v/>
      </c>
      <c r="B872" s="24" t="str">
        <f>IF(A872="","",'Risk-Control关系'!$B$23&amp;" -&gt; "&amp;'Risk-Control关系'!$D$23)</f>
        <v/>
      </c>
      <c r="C872" s="24" t="str">
        <f>IF(A872="","",'Risk-Control关系'!$M$23)</f>
        <v/>
      </c>
      <c r="D872" s="24" t="str">
        <f>IF(A872="","",IF(COUNTIF('Risk-Control关系'!$A$5:$A$72,'Risk-Control关系'!$A$23)&gt;1,"重复关系",IF(COUNTIF(字段母版!$A$5:$A$191,'Risk-Control关系'!$B$23)=0,"Risk 端点不存在",IF(COUNTIF(字段母版!$A$5:$A$191,'Risk-Control关系'!$D$23)=0,"Control 端点不存在",IF(OR(AND('Risk-Control关系'!$I$23="Y",'Risk-Control关系'!$G$23&lt;&gt;"Y"),AND('Risk-Control关系'!$J$23="Y",'Risk-Control关系'!$H$23&lt;&gt;"Y")),"适用层级冲突","声称映射但缺 v4 证据")))))</f>
        <v/>
      </c>
    </row>
    <row r="873" spans="1:4" x14ac:dyDescent="0.25">
      <c r="A873" s="24" t="str">
        <f>IF(OR(COUNTIF('Risk-Control关系'!$A$5:$A$72,'Risk-Control关系'!$A$24)&gt;1,COUNTIF(字段母版!$A$5:$A$191,'Risk-Control关系'!$B$24)=0,COUNTIF(字段母版!$A$5:$A$191,'Risk-Control关系'!$D$24)=0,AND('Risk-Control关系'!$I$24="Y",'Risk-Control关系'!$G$24&lt;&gt;"Y"),AND('Risk-Control关系'!$J$24="Y",'Risk-Control关系'!$H$24&lt;&gt;"Y"),AND('Risk-Control关系'!$R$24&lt;&gt;"",'Risk-Control关系'!$S$24="")),'Risk-Control关系'!$A$24,"")</f>
        <v/>
      </c>
      <c r="B873" s="24" t="str">
        <f>IF(A873="","",'Risk-Control关系'!$B$24&amp;" -&gt; "&amp;'Risk-Control关系'!$D$24)</f>
        <v/>
      </c>
      <c r="C873" s="24" t="str">
        <f>IF(A873="","",'Risk-Control关系'!$M$24)</f>
        <v/>
      </c>
      <c r="D873" s="24" t="str">
        <f>IF(A873="","",IF(COUNTIF('Risk-Control关系'!$A$5:$A$72,'Risk-Control关系'!$A$24)&gt;1,"重复关系",IF(COUNTIF(字段母版!$A$5:$A$191,'Risk-Control关系'!$B$24)=0,"Risk 端点不存在",IF(COUNTIF(字段母版!$A$5:$A$191,'Risk-Control关系'!$D$24)=0,"Control 端点不存在",IF(OR(AND('Risk-Control关系'!$I$24="Y",'Risk-Control关系'!$G$24&lt;&gt;"Y"),AND('Risk-Control关系'!$J$24="Y",'Risk-Control关系'!$H$24&lt;&gt;"Y")),"适用层级冲突","声称映射但缺 v4 证据")))))</f>
        <v/>
      </c>
    </row>
    <row r="874" spans="1:4" x14ac:dyDescent="0.25">
      <c r="A874" s="24" t="str">
        <f>IF(OR(COUNTIF('Risk-Control关系'!$A$5:$A$72,'Risk-Control关系'!$A$25)&gt;1,COUNTIF(字段母版!$A$5:$A$191,'Risk-Control关系'!$B$25)=0,COUNTIF(字段母版!$A$5:$A$191,'Risk-Control关系'!$D$25)=0,AND('Risk-Control关系'!$I$25="Y",'Risk-Control关系'!$G$25&lt;&gt;"Y"),AND('Risk-Control关系'!$J$25="Y",'Risk-Control关系'!$H$25&lt;&gt;"Y"),AND('Risk-Control关系'!$R$25&lt;&gt;"",'Risk-Control关系'!$S$25="")),'Risk-Control关系'!$A$25,"")</f>
        <v/>
      </c>
      <c r="B874" s="24" t="str">
        <f>IF(A874="","",'Risk-Control关系'!$B$25&amp;" -&gt; "&amp;'Risk-Control关系'!$D$25)</f>
        <v/>
      </c>
      <c r="C874" s="24" t="str">
        <f>IF(A874="","",'Risk-Control关系'!$M$25)</f>
        <v/>
      </c>
      <c r="D874" s="24" t="str">
        <f>IF(A874="","",IF(COUNTIF('Risk-Control关系'!$A$5:$A$72,'Risk-Control关系'!$A$25)&gt;1,"重复关系",IF(COUNTIF(字段母版!$A$5:$A$191,'Risk-Control关系'!$B$25)=0,"Risk 端点不存在",IF(COUNTIF(字段母版!$A$5:$A$191,'Risk-Control关系'!$D$25)=0,"Control 端点不存在",IF(OR(AND('Risk-Control关系'!$I$25="Y",'Risk-Control关系'!$G$25&lt;&gt;"Y"),AND('Risk-Control关系'!$J$25="Y",'Risk-Control关系'!$H$25&lt;&gt;"Y")),"适用层级冲突","声称映射但缺 v4 证据")))))</f>
        <v/>
      </c>
    </row>
    <row r="875" spans="1:4" x14ac:dyDescent="0.25">
      <c r="A875" s="24" t="str">
        <f>IF(OR(COUNTIF('Risk-Control关系'!$A$5:$A$72,'Risk-Control关系'!$A$26)&gt;1,COUNTIF(字段母版!$A$5:$A$191,'Risk-Control关系'!$B$26)=0,COUNTIF(字段母版!$A$5:$A$191,'Risk-Control关系'!$D$26)=0,AND('Risk-Control关系'!$I$26="Y",'Risk-Control关系'!$G$26&lt;&gt;"Y"),AND('Risk-Control关系'!$J$26="Y",'Risk-Control关系'!$H$26&lt;&gt;"Y"),AND('Risk-Control关系'!$R$26&lt;&gt;"",'Risk-Control关系'!$S$26="")),'Risk-Control关系'!$A$26,"")</f>
        <v/>
      </c>
      <c r="B875" s="24" t="str">
        <f>IF(A875="","",'Risk-Control关系'!$B$26&amp;" -&gt; "&amp;'Risk-Control关系'!$D$26)</f>
        <v/>
      </c>
      <c r="C875" s="24" t="str">
        <f>IF(A875="","",'Risk-Control关系'!$M$26)</f>
        <v/>
      </c>
      <c r="D875" s="24" t="str">
        <f>IF(A875="","",IF(COUNTIF('Risk-Control关系'!$A$5:$A$72,'Risk-Control关系'!$A$26)&gt;1,"重复关系",IF(COUNTIF(字段母版!$A$5:$A$191,'Risk-Control关系'!$B$26)=0,"Risk 端点不存在",IF(COUNTIF(字段母版!$A$5:$A$191,'Risk-Control关系'!$D$26)=0,"Control 端点不存在",IF(OR(AND('Risk-Control关系'!$I$26="Y",'Risk-Control关系'!$G$26&lt;&gt;"Y"),AND('Risk-Control关系'!$J$26="Y",'Risk-Control关系'!$H$26&lt;&gt;"Y")),"适用层级冲突","声称映射但缺 v4 证据")))))</f>
        <v/>
      </c>
    </row>
    <row r="876" spans="1:4" x14ac:dyDescent="0.25">
      <c r="A876" s="24" t="str">
        <f>IF(OR(COUNTIF('Risk-Control关系'!$A$5:$A$72,'Risk-Control关系'!$A$27)&gt;1,COUNTIF(字段母版!$A$5:$A$191,'Risk-Control关系'!$B$27)=0,COUNTIF(字段母版!$A$5:$A$191,'Risk-Control关系'!$D$27)=0,AND('Risk-Control关系'!$I$27="Y",'Risk-Control关系'!$G$27&lt;&gt;"Y"),AND('Risk-Control关系'!$J$27="Y",'Risk-Control关系'!$H$27&lt;&gt;"Y"),AND('Risk-Control关系'!$R$27&lt;&gt;"",'Risk-Control关系'!$S$27="")),'Risk-Control关系'!$A$27,"")</f>
        <v/>
      </c>
      <c r="B876" s="24" t="str">
        <f>IF(A876="","",'Risk-Control关系'!$B$27&amp;" -&gt; "&amp;'Risk-Control关系'!$D$27)</f>
        <v/>
      </c>
      <c r="C876" s="24" t="str">
        <f>IF(A876="","",'Risk-Control关系'!$M$27)</f>
        <v/>
      </c>
      <c r="D876" s="24" t="str">
        <f>IF(A876="","",IF(COUNTIF('Risk-Control关系'!$A$5:$A$72,'Risk-Control关系'!$A$27)&gt;1,"重复关系",IF(COUNTIF(字段母版!$A$5:$A$191,'Risk-Control关系'!$B$27)=0,"Risk 端点不存在",IF(COUNTIF(字段母版!$A$5:$A$191,'Risk-Control关系'!$D$27)=0,"Control 端点不存在",IF(OR(AND('Risk-Control关系'!$I$27="Y",'Risk-Control关系'!$G$27&lt;&gt;"Y"),AND('Risk-Control关系'!$J$27="Y",'Risk-Control关系'!$H$27&lt;&gt;"Y")),"适用层级冲突","声称映射但缺 v4 证据")))))</f>
        <v/>
      </c>
    </row>
    <row r="877" spans="1:4" x14ac:dyDescent="0.25">
      <c r="A877" s="24" t="str">
        <f>IF(OR(COUNTIF('Risk-Control关系'!$A$5:$A$72,'Risk-Control关系'!$A$28)&gt;1,COUNTIF(字段母版!$A$5:$A$191,'Risk-Control关系'!$B$28)=0,COUNTIF(字段母版!$A$5:$A$191,'Risk-Control关系'!$D$28)=0,AND('Risk-Control关系'!$I$28="Y",'Risk-Control关系'!$G$28&lt;&gt;"Y"),AND('Risk-Control关系'!$J$28="Y",'Risk-Control关系'!$H$28&lt;&gt;"Y"),AND('Risk-Control关系'!$R$28&lt;&gt;"",'Risk-Control关系'!$S$28="")),'Risk-Control关系'!$A$28,"")</f>
        <v/>
      </c>
      <c r="B877" s="24" t="str">
        <f>IF(A877="","",'Risk-Control关系'!$B$28&amp;" -&gt; "&amp;'Risk-Control关系'!$D$28)</f>
        <v/>
      </c>
      <c r="C877" s="24" t="str">
        <f>IF(A877="","",'Risk-Control关系'!$M$28)</f>
        <v/>
      </c>
      <c r="D877" s="24" t="str">
        <f>IF(A877="","",IF(COUNTIF('Risk-Control关系'!$A$5:$A$72,'Risk-Control关系'!$A$28)&gt;1,"重复关系",IF(COUNTIF(字段母版!$A$5:$A$191,'Risk-Control关系'!$B$28)=0,"Risk 端点不存在",IF(COUNTIF(字段母版!$A$5:$A$191,'Risk-Control关系'!$D$28)=0,"Control 端点不存在",IF(OR(AND('Risk-Control关系'!$I$28="Y",'Risk-Control关系'!$G$28&lt;&gt;"Y"),AND('Risk-Control关系'!$J$28="Y",'Risk-Control关系'!$H$28&lt;&gt;"Y")),"适用层级冲突","声称映射但缺 v4 证据")))))</f>
        <v/>
      </c>
    </row>
    <row r="878" spans="1:4" x14ac:dyDescent="0.25">
      <c r="A878" s="24" t="str">
        <f>IF(OR(COUNTIF('Risk-Control关系'!$A$5:$A$72,'Risk-Control关系'!$A$29)&gt;1,COUNTIF(字段母版!$A$5:$A$191,'Risk-Control关系'!$B$29)=0,COUNTIF(字段母版!$A$5:$A$191,'Risk-Control关系'!$D$29)=0,AND('Risk-Control关系'!$I$29="Y",'Risk-Control关系'!$G$29&lt;&gt;"Y"),AND('Risk-Control关系'!$J$29="Y",'Risk-Control关系'!$H$29&lt;&gt;"Y"),AND('Risk-Control关系'!$R$29&lt;&gt;"",'Risk-Control关系'!$S$29="")),'Risk-Control关系'!$A$29,"")</f>
        <v/>
      </c>
      <c r="B878" s="24" t="str">
        <f>IF(A878="","",'Risk-Control关系'!$B$29&amp;" -&gt; "&amp;'Risk-Control关系'!$D$29)</f>
        <v/>
      </c>
      <c r="C878" s="24" t="str">
        <f>IF(A878="","",'Risk-Control关系'!$M$29)</f>
        <v/>
      </c>
      <c r="D878" s="24" t="str">
        <f>IF(A878="","",IF(COUNTIF('Risk-Control关系'!$A$5:$A$72,'Risk-Control关系'!$A$29)&gt;1,"重复关系",IF(COUNTIF(字段母版!$A$5:$A$191,'Risk-Control关系'!$B$29)=0,"Risk 端点不存在",IF(COUNTIF(字段母版!$A$5:$A$191,'Risk-Control关系'!$D$29)=0,"Control 端点不存在",IF(OR(AND('Risk-Control关系'!$I$29="Y",'Risk-Control关系'!$G$29&lt;&gt;"Y"),AND('Risk-Control关系'!$J$29="Y",'Risk-Control关系'!$H$29&lt;&gt;"Y")),"适用层级冲突","声称映射但缺 v4 证据")))))</f>
        <v/>
      </c>
    </row>
    <row r="879" spans="1:4" x14ac:dyDescent="0.25">
      <c r="A879" s="24" t="str">
        <f>IF(OR(COUNTIF('Risk-Control关系'!$A$5:$A$72,'Risk-Control关系'!$A$30)&gt;1,COUNTIF(字段母版!$A$5:$A$191,'Risk-Control关系'!$B$30)=0,COUNTIF(字段母版!$A$5:$A$191,'Risk-Control关系'!$D$30)=0,AND('Risk-Control关系'!$I$30="Y",'Risk-Control关系'!$G$30&lt;&gt;"Y"),AND('Risk-Control关系'!$J$30="Y",'Risk-Control关系'!$H$30&lt;&gt;"Y"),AND('Risk-Control关系'!$R$30&lt;&gt;"",'Risk-Control关系'!$S$30="")),'Risk-Control关系'!$A$30,"")</f>
        <v/>
      </c>
      <c r="B879" s="24" t="str">
        <f>IF(A879="","",'Risk-Control关系'!$B$30&amp;" -&gt; "&amp;'Risk-Control关系'!$D$30)</f>
        <v/>
      </c>
      <c r="C879" s="24" t="str">
        <f>IF(A879="","",'Risk-Control关系'!$M$30)</f>
        <v/>
      </c>
      <c r="D879" s="24" t="str">
        <f>IF(A879="","",IF(COUNTIF('Risk-Control关系'!$A$5:$A$72,'Risk-Control关系'!$A$30)&gt;1,"重复关系",IF(COUNTIF(字段母版!$A$5:$A$191,'Risk-Control关系'!$B$30)=0,"Risk 端点不存在",IF(COUNTIF(字段母版!$A$5:$A$191,'Risk-Control关系'!$D$30)=0,"Control 端点不存在",IF(OR(AND('Risk-Control关系'!$I$30="Y",'Risk-Control关系'!$G$30&lt;&gt;"Y"),AND('Risk-Control关系'!$J$30="Y",'Risk-Control关系'!$H$30&lt;&gt;"Y")),"适用层级冲突","声称映射但缺 v4 证据")))))</f>
        <v/>
      </c>
    </row>
    <row r="880" spans="1:4" x14ac:dyDescent="0.25">
      <c r="A880" s="24" t="str">
        <f>IF(OR(COUNTIF('Risk-Control关系'!$A$5:$A$72,'Risk-Control关系'!$A$31)&gt;1,COUNTIF(字段母版!$A$5:$A$191,'Risk-Control关系'!$B$31)=0,COUNTIF(字段母版!$A$5:$A$191,'Risk-Control关系'!$D$31)=0,AND('Risk-Control关系'!$I$31="Y",'Risk-Control关系'!$G$31&lt;&gt;"Y"),AND('Risk-Control关系'!$J$31="Y",'Risk-Control关系'!$H$31&lt;&gt;"Y"),AND('Risk-Control关系'!$R$31&lt;&gt;"",'Risk-Control关系'!$S$31="")),'Risk-Control关系'!$A$31,"")</f>
        <v/>
      </c>
      <c r="B880" s="24" t="str">
        <f>IF(A880="","",'Risk-Control关系'!$B$31&amp;" -&gt; "&amp;'Risk-Control关系'!$D$31)</f>
        <v/>
      </c>
      <c r="C880" s="24" t="str">
        <f>IF(A880="","",'Risk-Control关系'!$M$31)</f>
        <v/>
      </c>
      <c r="D880" s="24" t="str">
        <f>IF(A880="","",IF(COUNTIF('Risk-Control关系'!$A$5:$A$72,'Risk-Control关系'!$A$31)&gt;1,"重复关系",IF(COUNTIF(字段母版!$A$5:$A$191,'Risk-Control关系'!$B$31)=0,"Risk 端点不存在",IF(COUNTIF(字段母版!$A$5:$A$191,'Risk-Control关系'!$D$31)=0,"Control 端点不存在",IF(OR(AND('Risk-Control关系'!$I$31="Y",'Risk-Control关系'!$G$31&lt;&gt;"Y"),AND('Risk-Control关系'!$J$31="Y",'Risk-Control关系'!$H$31&lt;&gt;"Y")),"适用层级冲突","声称映射但缺 v4 证据")))))</f>
        <v/>
      </c>
    </row>
    <row r="881" spans="1:4" x14ac:dyDescent="0.25">
      <c r="A881" s="24" t="str">
        <f>IF(OR(COUNTIF('Risk-Control关系'!$A$5:$A$72,'Risk-Control关系'!$A$32)&gt;1,COUNTIF(字段母版!$A$5:$A$191,'Risk-Control关系'!$B$32)=0,COUNTIF(字段母版!$A$5:$A$191,'Risk-Control关系'!$D$32)=0,AND('Risk-Control关系'!$I$32="Y",'Risk-Control关系'!$G$32&lt;&gt;"Y"),AND('Risk-Control关系'!$J$32="Y",'Risk-Control关系'!$H$32&lt;&gt;"Y"),AND('Risk-Control关系'!$R$32&lt;&gt;"",'Risk-Control关系'!$S$32="")),'Risk-Control关系'!$A$32,"")</f>
        <v/>
      </c>
      <c r="B881" s="24" t="str">
        <f>IF(A881="","",'Risk-Control关系'!$B$32&amp;" -&gt; "&amp;'Risk-Control关系'!$D$32)</f>
        <v/>
      </c>
      <c r="C881" s="24" t="str">
        <f>IF(A881="","",'Risk-Control关系'!$M$32)</f>
        <v/>
      </c>
      <c r="D881" s="24" t="str">
        <f>IF(A881="","",IF(COUNTIF('Risk-Control关系'!$A$5:$A$72,'Risk-Control关系'!$A$32)&gt;1,"重复关系",IF(COUNTIF(字段母版!$A$5:$A$191,'Risk-Control关系'!$B$32)=0,"Risk 端点不存在",IF(COUNTIF(字段母版!$A$5:$A$191,'Risk-Control关系'!$D$32)=0,"Control 端点不存在",IF(OR(AND('Risk-Control关系'!$I$32="Y",'Risk-Control关系'!$G$32&lt;&gt;"Y"),AND('Risk-Control关系'!$J$32="Y",'Risk-Control关系'!$H$32&lt;&gt;"Y")),"适用层级冲突","声称映射但缺 v4 证据")))))</f>
        <v/>
      </c>
    </row>
    <row r="882" spans="1:4" x14ac:dyDescent="0.25">
      <c r="A882" s="24" t="str">
        <f>IF(OR(COUNTIF('Risk-Control关系'!$A$5:$A$72,'Risk-Control关系'!$A$33)&gt;1,COUNTIF(字段母版!$A$5:$A$191,'Risk-Control关系'!$B$33)=0,COUNTIF(字段母版!$A$5:$A$191,'Risk-Control关系'!$D$33)=0,AND('Risk-Control关系'!$I$33="Y",'Risk-Control关系'!$G$33&lt;&gt;"Y"),AND('Risk-Control关系'!$J$33="Y",'Risk-Control关系'!$H$33&lt;&gt;"Y"),AND('Risk-Control关系'!$R$33&lt;&gt;"",'Risk-Control关系'!$S$33="")),'Risk-Control关系'!$A$33,"")</f>
        <v/>
      </c>
      <c r="B882" s="24" t="str">
        <f>IF(A882="","",'Risk-Control关系'!$B$33&amp;" -&gt; "&amp;'Risk-Control关系'!$D$33)</f>
        <v/>
      </c>
      <c r="C882" s="24" t="str">
        <f>IF(A882="","",'Risk-Control关系'!$M$33)</f>
        <v/>
      </c>
      <c r="D882" s="24" t="str">
        <f>IF(A882="","",IF(COUNTIF('Risk-Control关系'!$A$5:$A$72,'Risk-Control关系'!$A$33)&gt;1,"重复关系",IF(COUNTIF(字段母版!$A$5:$A$191,'Risk-Control关系'!$B$33)=0,"Risk 端点不存在",IF(COUNTIF(字段母版!$A$5:$A$191,'Risk-Control关系'!$D$33)=0,"Control 端点不存在",IF(OR(AND('Risk-Control关系'!$I$33="Y",'Risk-Control关系'!$G$33&lt;&gt;"Y"),AND('Risk-Control关系'!$J$33="Y",'Risk-Control关系'!$H$33&lt;&gt;"Y")),"适用层级冲突","声称映射但缺 v4 证据")))))</f>
        <v/>
      </c>
    </row>
    <row r="883" spans="1:4" x14ac:dyDescent="0.25">
      <c r="A883" s="24" t="str">
        <f>IF(OR(COUNTIF('Risk-Control关系'!$A$5:$A$72,'Risk-Control关系'!$A$34)&gt;1,COUNTIF(字段母版!$A$5:$A$191,'Risk-Control关系'!$B$34)=0,COUNTIF(字段母版!$A$5:$A$191,'Risk-Control关系'!$D$34)=0,AND('Risk-Control关系'!$I$34="Y",'Risk-Control关系'!$G$34&lt;&gt;"Y"),AND('Risk-Control关系'!$J$34="Y",'Risk-Control关系'!$H$34&lt;&gt;"Y"),AND('Risk-Control关系'!$R$34&lt;&gt;"",'Risk-Control关系'!$S$34="")),'Risk-Control关系'!$A$34,"")</f>
        <v/>
      </c>
      <c r="B883" s="24" t="str">
        <f>IF(A883="","",'Risk-Control关系'!$B$34&amp;" -&gt; "&amp;'Risk-Control关系'!$D$34)</f>
        <v/>
      </c>
      <c r="C883" s="24" t="str">
        <f>IF(A883="","",'Risk-Control关系'!$M$34)</f>
        <v/>
      </c>
      <c r="D883" s="24" t="str">
        <f>IF(A883="","",IF(COUNTIF('Risk-Control关系'!$A$5:$A$72,'Risk-Control关系'!$A$34)&gt;1,"重复关系",IF(COUNTIF(字段母版!$A$5:$A$191,'Risk-Control关系'!$B$34)=0,"Risk 端点不存在",IF(COUNTIF(字段母版!$A$5:$A$191,'Risk-Control关系'!$D$34)=0,"Control 端点不存在",IF(OR(AND('Risk-Control关系'!$I$34="Y",'Risk-Control关系'!$G$34&lt;&gt;"Y"),AND('Risk-Control关系'!$J$34="Y",'Risk-Control关系'!$H$34&lt;&gt;"Y")),"适用层级冲突","声称映射但缺 v4 证据")))))</f>
        <v/>
      </c>
    </row>
    <row r="884" spans="1:4" x14ac:dyDescent="0.25">
      <c r="A884" s="24" t="str">
        <f>IF(OR(COUNTIF('Risk-Control关系'!$A$5:$A$72,'Risk-Control关系'!$A$35)&gt;1,COUNTIF(字段母版!$A$5:$A$191,'Risk-Control关系'!$B$35)=0,COUNTIF(字段母版!$A$5:$A$191,'Risk-Control关系'!$D$35)=0,AND('Risk-Control关系'!$I$35="Y",'Risk-Control关系'!$G$35&lt;&gt;"Y"),AND('Risk-Control关系'!$J$35="Y",'Risk-Control关系'!$H$35&lt;&gt;"Y"),AND('Risk-Control关系'!$R$35&lt;&gt;"",'Risk-Control关系'!$S$35="")),'Risk-Control关系'!$A$35,"")</f>
        <v/>
      </c>
      <c r="B884" s="24" t="str">
        <f>IF(A884="","",'Risk-Control关系'!$B$35&amp;" -&gt; "&amp;'Risk-Control关系'!$D$35)</f>
        <v/>
      </c>
      <c r="C884" s="24" t="str">
        <f>IF(A884="","",'Risk-Control关系'!$M$35)</f>
        <v/>
      </c>
      <c r="D884" s="24" t="str">
        <f>IF(A884="","",IF(COUNTIF('Risk-Control关系'!$A$5:$A$72,'Risk-Control关系'!$A$35)&gt;1,"重复关系",IF(COUNTIF(字段母版!$A$5:$A$191,'Risk-Control关系'!$B$35)=0,"Risk 端点不存在",IF(COUNTIF(字段母版!$A$5:$A$191,'Risk-Control关系'!$D$35)=0,"Control 端点不存在",IF(OR(AND('Risk-Control关系'!$I$35="Y",'Risk-Control关系'!$G$35&lt;&gt;"Y"),AND('Risk-Control关系'!$J$35="Y",'Risk-Control关系'!$H$35&lt;&gt;"Y")),"适用层级冲突","声称映射但缺 v4 证据")))))</f>
        <v/>
      </c>
    </row>
    <row r="885" spans="1:4" x14ac:dyDescent="0.25">
      <c r="A885" s="24" t="str">
        <f>IF(OR(COUNTIF('Risk-Control关系'!$A$5:$A$72,'Risk-Control关系'!$A$36)&gt;1,COUNTIF(字段母版!$A$5:$A$191,'Risk-Control关系'!$B$36)=0,COUNTIF(字段母版!$A$5:$A$191,'Risk-Control关系'!$D$36)=0,AND('Risk-Control关系'!$I$36="Y",'Risk-Control关系'!$G$36&lt;&gt;"Y"),AND('Risk-Control关系'!$J$36="Y",'Risk-Control关系'!$H$36&lt;&gt;"Y"),AND('Risk-Control关系'!$R$36&lt;&gt;"",'Risk-Control关系'!$S$36="")),'Risk-Control关系'!$A$36,"")</f>
        <v/>
      </c>
      <c r="B885" s="24" t="str">
        <f>IF(A885="","",'Risk-Control关系'!$B$36&amp;" -&gt; "&amp;'Risk-Control关系'!$D$36)</f>
        <v/>
      </c>
      <c r="C885" s="24" t="str">
        <f>IF(A885="","",'Risk-Control关系'!$M$36)</f>
        <v/>
      </c>
      <c r="D885" s="24" t="str">
        <f>IF(A885="","",IF(COUNTIF('Risk-Control关系'!$A$5:$A$72,'Risk-Control关系'!$A$36)&gt;1,"重复关系",IF(COUNTIF(字段母版!$A$5:$A$191,'Risk-Control关系'!$B$36)=0,"Risk 端点不存在",IF(COUNTIF(字段母版!$A$5:$A$191,'Risk-Control关系'!$D$36)=0,"Control 端点不存在",IF(OR(AND('Risk-Control关系'!$I$36="Y",'Risk-Control关系'!$G$36&lt;&gt;"Y"),AND('Risk-Control关系'!$J$36="Y",'Risk-Control关系'!$H$36&lt;&gt;"Y")),"适用层级冲突","声称映射但缺 v4 证据")))))</f>
        <v/>
      </c>
    </row>
    <row r="886" spans="1:4" x14ac:dyDescent="0.25">
      <c r="A886" s="24" t="str">
        <f>IF(OR(COUNTIF('Risk-Control关系'!$A$5:$A$72,'Risk-Control关系'!$A$37)&gt;1,COUNTIF(字段母版!$A$5:$A$191,'Risk-Control关系'!$B$37)=0,COUNTIF(字段母版!$A$5:$A$191,'Risk-Control关系'!$D$37)=0,AND('Risk-Control关系'!$I$37="Y",'Risk-Control关系'!$G$37&lt;&gt;"Y"),AND('Risk-Control关系'!$J$37="Y",'Risk-Control关系'!$H$37&lt;&gt;"Y"),AND('Risk-Control关系'!$R$37&lt;&gt;"",'Risk-Control关系'!$S$37="")),'Risk-Control关系'!$A$37,"")</f>
        <v/>
      </c>
      <c r="B886" s="24" t="str">
        <f>IF(A886="","",'Risk-Control关系'!$B$37&amp;" -&gt; "&amp;'Risk-Control关系'!$D$37)</f>
        <v/>
      </c>
      <c r="C886" s="24" t="str">
        <f>IF(A886="","",'Risk-Control关系'!$M$37)</f>
        <v/>
      </c>
      <c r="D886" s="24" t="str">
        <f>IF(A886="","",IF(COUNTIF('Risk-Control关系'!$A$5:$A$72,'Risk-Control关系'!$A$37)&gt;1,"重复关系",IF(COUNTIF(字段母版!$A$5:$A$191,'Risk-Control关系'!$B$37)=0,"Risk 端点不存在",IF(COUNTIF(字段母版!$A$5:$A$191,'Risk-Control关系'!$D$37)=0,"Control 端点不存在",IF(OR(AND('Risk-Control关系'!$I$37="Y",'Risk-Control关系'!$G$37&lt;&gt;"Y"),AND('Risk-Control关系'!$J$37="Y",'Risk-Control关系'!$H$37&lt;&gt;"Y")),"适用层级冲突","声称映射但缺 v4 证据")))))</f>
        <v/>
      </c>
    </row>
    <row r="887" spans="1:4" x14ac:dyDescent="0.25">
      <c r="A887" s="24" t="str">
        <f>IF(OR(COUNTIF('Risk-Control关系'!$A$5:$A$72,'Risk-Control关系'!$A$38)&gt;1,COUNTIF(字段母版!$A$5:$A$191,'Risk-Control关系'!$B$38)=0,COUNTIF(字段母版!$A$5:$A$191,'Risk-Control关系'!$D$38)=0,AND('Risk-Control关系'!$I$38="Y",'Risk-Control关系'!$G$38&lt;&gt;"Y"),AND('Risk-Control关系'!$J$38="Y",'Risk-Control关系'!$H$38&lt;&gt;"Y"),AND('Risk-Control关系'!$R$38&lt;&gt;"",'Risk-Control关系'!$S$38="")),'Risk-Control关系'!$A$38,"")</f>
        <v/>
      </c>
      <c r="B887" s="24" t="str">
        <f>IF(A887="","",'Risk-Control关系'!$B$38&amp;" -&gt; "&amp;'Risk-Control关系'!$D$38)</f>
        <v/>
      </c>
      <c r="C887" s="24" t="str">
        <f>IF(A887="","",'Risk-Control关系'!$M$38)</f>
        <v/>
      </c>
      <c r="D887" s="24" t="str">
        <f>IF(A887="","",IF(COUNTIF('Risk-Control关系'!$A$5:$A$72,'Risk-Control关系'!$A$38)&gt;1,"重复关系",IF(COUNTIF(字段母版!$A$5:$A$191,'Risk-Control关系'!$B$38)=0,"Risk 端点不存在",IF(COUNTIF(字段母版!$A$5:$A$191,'Risk-Control关系'!$D$38)=0,"Control 端点不存在",IF(OR(AND('Risk-Control关系'!$I$38="Y",'Risk-Control关系'!$G$38&lt;&gt;"Y"),AND('Risk-Control关系'!$J$38="Y",'Risk-Control关系'!$H$38&lt;&gt;"Y")),"适用层级冲突","声称映射但缺 v4 证据")))))</f>
        <v/>
      </c>
    </row>
    <row r="888" spans="1:4" x14ac:dyDescent="0.25">
      <c r="A888" s="24" t="str">
        <f>IF(OR(COUNTIF('Risk-Control关系'!$A$5:$A$72,'Risk-Control关系'!$A$39)&gt;1,COUNTIF(字段母版!$A$5:$A$191,'Risk-Control关系'!$B$39)=0,COUNTIF(字段母版!$A$5:$A$191,'Risk-Control关系'!$D$39)=0,AND('Risk-Control关系'!$I$39="Y",'Risk-Control关系'!$G$39&lt;&gt;"Y"),AND('Risk-Control关系'!$J$39="Y",'Risk-Control关系'!$H$39&lt;&gt;"Y"),AND('Risk-Control关系'!$R$39&lt;&gt;"",'Risk-Control关系'!$S$39="")),'Risk-Control关系'!$A$39,"")</f>
        <v/>
      </c>
      <c r="B888" s="24" t="str">
        <f>IF(A888="","",'Risk-Control关系'!$B$39&amp;" -&gt; "&amp;'Risk-Control关系'!$D$39)</f>
        <v/>
      </c>
      <c r="C888" s="24" t="str">
        <f>IF(A888="","",'Risk-Control关系'!$M$39)</f>
        <v/>
      </c>
      <c r="D888" s="24" t="str">
        <f>IF(A888="","",IF(COUNTIF('Risk-Control关系'!$A$5:$A$72,'Risk-Control关系'!$A$39)&gt;1,"重复关系",IF(COUNTIF(字段母版!$A$5:$A$191,'Risk-Control关系'!$B$39)=0,"Risk 端点不存在",IF(COUNTIF(字段母版!$A$5:$A$191,'Risk-Control关系'!$D$39)=0,"Control 端点不存在",IF(OR(AND('Risk-Control关系'!$I$39="Y",'Risk-Control关系'!$G$39&lt;&gt;"Y"),AND('Risk-Control关系'!$J$39="Y",'Risk-Control关系'!$H$39&lt;&gt;"Y")),"适用层级冲突","声称映射但缺 v4 证据")))))</f>
        <v/>
      </c>
    </row>
    <row r="889" spans="1:4" x14ac:dyDescent="0.25">
      <c r="A889" s="24" t="str">
        <f>IF(OR(COUNTIF('Risk-Control关系'!$A$5:$A$72,'Risk-Control关系'!$A$40)&gt;1,COUNTIF(字段母版!$A$5:$A$191,'Risk-Control关系'!$B$40)=0,COUNTIF(字段母版!$A$5:$A$191,'Risk-Control关系'!$D$40)=0,AND('Risk-Control关系'!$I$40="Y",'Risk-Control关系'!$G$40&lt;&gt;"Y"),AND('Risk-Control关系'!$J$40="Y",'Risk-Control关系'!$H$40&lt;&gt;"Y"),AND('Risk-Control关系'!$R$40&lt;&gt;"",'Risk-Control关系'!$S$40="")),'Risk-Control关系'!$A$40,"")</f>
        <v/>
      </c>
      <c r="B889" s="24" t="str">
        <f>IF(A889="","",'Risk-Control关系'!$B$40&amp;" -&gt; "&amp;'Risk-Control关系'!$D$40)</f>
        <v/>
      </c>
      <c r="C889" s="24" t="str">
        <f>IF(A889="","",'Risk-Control关系'!$M$40)</f>
        <v/>
      </c>
      <c r="D889" s="24" t="str">
        <f>IF(A889="","",IF(COUNTIF('Risk-Control关系'!$A$5:$A$72,'Risk-Control关系'!$A$40)&gt;1,"重复关系",IF(COUNTIF(字段母版!$A$5:$A$191,'Risk-Control关系'!$B$40)=0,"Risk 端点不存在",IF(COUNTIF(字段母版!$A$5:$A$191,'Risk-Control关系'!$D$40)=0,"Control 端点不存在",IF(OR(AND('Risk-Control关系'!$I$40="Y",'Risk-Control关系'!$G$40&lt;&gt;"Y"),AND('Risk-Control关系'!$J$40="Y",'Risk-Control关系'!$H$40&lt;&gt;"Y")),"适用层级冲突","声称映射但缺 v4 证据")))))</f>
        <v/>
      </c>
    </row>
    <row r="890" spans="1:4" x14ac:dyDescent="0.25">
      <c r="A890" s="24" t="str">
        <f>IF(OR(COUNTIF('Risk-Control关系'!$A$5:$A$72,'Risk-Control关系'!$A$41)&gt;1,COUNTIF(字段母版!$A$5:$A$191,'Risk-Control关系'!$B$41)=0,COUNTIF(字段母版!$A$5:$A$191,'Risk-Control关系'!$D$41)=0,AND('Risk-Control关系'!$I$41="Y",'Risk-Control关系'!$G$41&lt;&gt;"Y"),AND('Risk-Control关系'!$J$41="Y",'Risk-Control关系'!$H$41&lt;&gt;"Y"),AND('Risk-Control关系'!$R$41&lt;&gt;"",'Risk-Control关系'!$S$41="")),'Risk-Control关系'!$A$41,"")</f>
        <v/>
      </c>
      <c r="B890" s="24" t="str">
        <f>IF(A890="","",'Risk-Control关系'!$B$41&amp;" -&gt; "&amp;'Risk-Control关系'!$D$41)</f>
        <v/>
      </c>
      <c r="C890" s="24" t="str">
        <f>IF(A890="","",'Risk-Control关系'!$M$41)</f>
        <v/>
      </c>
      <c r="D890" s="24" t="str">
        <f>IF(A890="","",IF(COUNTIF('Risk-Control关系'!$A$5:$A$72,'Risk-Control关系'!$A$41)&gt;1,"重复关系",IF(COUNTIF(字段母版!$A$5:$A$191,'Risk-Control关系'!$B$41)=0,"Risk 端点不存在",IF(COUNTIF(字段母版!$A$5:$A$191,'Risk-Control关系'!$D$41)=0,"Control 端点不存在",IF(OR(AND('Risk-Control关系'!$I$41="Y",'Risk-Control关系'!$G$41&lt;&gt;"Y"),AND('Risk-Control关系'!$J$41="Y",'Risk-Control关系'!$H$41&lt;&gt;"Y")),"适用层级冲突","声称映射但缺 v4 证据")))))</f>
        <v/>
      </c>
    </row>
    <row r="891" spans="1:4" x14ac:dyDescent="0.25">
      <c r="A891" s="24" t="str">
        <f>IF(OR(COUNTIF('Risk-Control关系'!$A$5:$A$72,'Risk-Control关系'!$A$42)&gt;1,COUNTIF(字段母版!$A$5:$A$191,'Risk-Control关系'!$B$42)=0,COUNTIF(字段母版!$A$5:$A$191,'Risk-Control关系'!$D$42)=0,AND('Risk-Control关系'!$I$42="Y",'Risk-Control关系'!$G$42&lt;&gt;"Y"),AND('Risk-Control关系'!$J$42="Y",'Risk-Control关系'!$H$42&lt;&gt;"Y"),AND('Risk-Control关系'!$R$42&lt;&gt;"",'Risk-Control关系'!$S$42="")),'Risk-Control关系'!$A$42,"")</f>
        <v/>
      </c>
      <c r="B891" s="24" t="str">
        <f>IF(A891="","",'Risk-Control关系'!$B$42&amp;" -&gt; "&amp;'Risk-Control关系'!$D$42)</f>
        <v/>
      </c>
      <c r="C891" s="24" t="str">
        <f>IF(A891="","",'Risk-Control关系'!$M$42)</f>
        <v/>
      </c>
      <c r="D891" s="24" t="str">
        <f>IF(A891="","",IF(COUNTIF('Risk-Control关系'!$A$5:$A$72,'Risk-Control关系'!$A$42)&gt;1,"重复关系",IF(COUNTIF(字段母版!$A$5:$A$191,'Risk-Control关系'!$B$42)=0,"Risk 端点不存在",IF(COUNTIF(字段母版!$A$5:$A$191,'Risk-Control关系'!$D$42)=0,"Control 端点不存在",IF(OR(AND('Risk-Control关系'!$I$42="Y",'Risk-Control关系'!$G$42&lt;&gt;"Y"),AND('Risk-Control关系'!$J$42="Y",'Risk-Control关系'!$H$42&lt;&gt;"Y")),"适用层级冲突","声称映射但缺 v4 证据")))))</f>
        <v/>
      </c>
    </row>
    <row r="892" spans="1:4" x14ac:dyDescent="0.25">
      <c r="A892" s="24" t="str">
        <f>IF(OR(COUNTIF('Risk-Control关系'!$A$5:$A$72,'Risk-Control关系'!$A$43)&gt;1,COUNTIF(字段母版!$A$5:$A$191,'Risk-Control关系'!$B$43)=0,COUNTIF(字段母版!$A$5:$A$191,'Risk-Control关系'!$D$43)=0,AND('Risk-Control关系'!$I$43="Y",'Risk-Control关系'!$G$43&lt;&gt;"Y"),AND('Risk-Control关系'!$J$43="Y",'Risk-Control关系'!$H$43&lt;&gt;"Y"),AND('Risk-Control关系'!$R$43&lt;&gt;"",'Risk-Control关系'!$S$43="")),'Risk-Control关系'!$A$43,"")</f>
        <v/>
      </c>
      <c r="B892" s="24" t="str">
        <f>IF(A892="","",'Risk-Control关系'!$B$43&amp;" -&gt; "&amp;'Risk-Control关系'!$D$43)</f>
        <v/>
      </c>
      <c r="C892" s="24" t="str">
        <f>IF(A892="","",'Risk-Control关系'!$M$43)</f>
        <v/>
      </c>
      <c r="D892" s="24" t="str">
        <f>IF(A892="","",IF(COUNTIF('Risk-Control关系'!$A$5:$A$72,'Risk-Control关系'!$A$43)&gt;1,"重复关系",IF(COUNTIF(字段母版!$A$5:$A$191,'Risk-Control关系'!$B$43)=0,"Risk 端点不存在",IF(COUNTIF(字段母版!$A$5:$A$191,'Risk-Control关系'!$D$43)=0,"Control 端点不存在",IF(OR(AND('Risk-Control关系'!$I$43="Y",'Risk-Control关系'!$G$43&lt;&gt;"Y"),AND('Risk-Control关系'!$J$43="Y",'Risk-Control关系'!$H$43&lt;&gt;"Y")),"适用层级冲突","声称映射但缺 v4 证据")))))</f>
        <v/>
      </c>
    </row>
    <row r="893" spans="1:4" x14ac:dyDescent="0.25">
      <c r="A893" s="24" t="str">
        <f>IF(OR(COUNTIF('Risk-Control关系'!$A$5:$A$72,'Risk-Control关系'!$A$44)&gt;1,COUNTIF(字段母版!$A$5:$A$191,'Risk-Control关系'!$B$44)=0,COUNTIF(字段母版!$A$5:$A$191,'Risk-Control关系'!$D$44)=0,AND('Risk-Control关系'!$I$44="Y",'Risk-Control关系'!$G$44&lt;&gt;"Y"),AND('Risk-Control关系'!$J$44="Y",'Risk-Control关系'!$H$44&lt;&gt;"Y"),AND('Risk-Control关系'!$R$44&lt;&gt;"",'Risk-Control关系'!$S$44="")),'Risk-Control关系'!$A$44,"")</f>
        <v/>
      </c>
      <c r="B893" s="24" t="str">
        <f>IF(A893="","",'Risk-Control关系'!$B$44&amp;" -&gt; "&amp;'Risk-Control关系'!$D$44)</f>
        <v/>
      </c>
      <c r="C893" s="24" t="str">
        <f>IF(A893="","",'Risk-Control关系'!$M$44)</f>
        <v/>
      </c>
      <c r="D893" s="24" t="str">
        <f>IF(A893="","",IF(COUNTIF('Risk-Control关系'!$A$5:$A$72,'Risk-Control关系'!$A$44)&gt;1,"重复关系",IF(COUNTIF(字段母版!$A$5:$A$191,'Risk-Control关系'!$B$44)=0,"Risk 端点不存在",IF(COUNTIF(字段母版!$A$5:$A$191,'Risk-Control关系'!$D$44)=0,"Control 端点不存在",IF(OR(AND('Risk-Control关系'!$I$44="Y",'Risk-Control关系'!$G$44&lt;&gt;"Y"),AND('Risk-Control关系'!$J$44="Y",'Risk-Control关系'!$H$44&lt;&gt;"Y")),"适用层级冲突","声称映射但缺 v4 证据")))))</f>
        <v/>
      </c>
    </row>
    <row r="894" spans="1:4" x14ac:dyDescent="0.25">
      <c r="A894" s="24" t="str">
        <f>IF(OR(COUNTIF('Risk-Control关系'!$A$5:$A$72,'Risk-Control关系'!$A$45)&gt;1,COUNTIF(字段母版!$A$5:$A$191,'Risk-Control关系'!$B$45)=0,COUNTIF(字段母版!$A$5:$A$191,'Risk-Control关系'!$D$45)=0,AND('Risk-Control关系'!$I$45="Y",'Risk-Control关系'!$G$45&lt;&gt;"Y"),AND('Risk-Control关系'!$J$45="Y",'Risk-Control关系'!$H$45&lt;&gt;"Y"),AND('Risk-Control关系'!$R$45&lt;&gt;"",'Risk-Control关系'!$S$45="")),'Risk-Control关系'!$A$45,"")</f>
        <v/>
      </c>
      <c r="B894" s="24" t="str">
        <f>IF(A894="","",'Risk-Control关系'!$B$45&amp;" -&gt; "&amp;'Risk-Control关系'!$D$45)</f>
        <v/>
      </c>
      <c r="C894" s="24" t="str">
        <f>IF(A894="","",'Risk-Control关系'!$M$45)</f>
        <v/>
      </c>
      <c r="D894" s="24" t="str">
        <f>IF(A894="","",IF(COUNTIF('Risk-Control关系'!$A$5:$A$72,'Risk-Control关系'!$A$45)&gt;1,"重复关系",IF(COUNTIF(字段母版!$A$5:$A$191,'Risk-Control关系'!$B$45)=0,"Risk 端点不存在",IF(COUNTIF(字段母版!$A$5:$A$191,'Risk-Control关系'!$D$45)=0,"Control 端点不存在",IF(OR(AND('Risk-Control关系'!$I$45="Y",'Risk-Control关系'!$G$45&lt;&gt;"Y"),AND('Risk-Control关系'!$J$45="Y",'Risk-Control关系'!$H$45&lt;&gt;"Y")),"适用层级冲突","声称映射但缺 v4 证据")))))</f>
        <v/>
      </c>
    </row>
    <row r="895" spans="1:4" x14ac:dyDescent="0.25">
      <c r="A895" s="24" t="str">
        <f>IF(OR(COUNTIF('Risk-Control关系'!$A$5:$A$72,'Risk-Control关系'!$A$46)&gt;1,COUNTIF(字段母版!$A$5:$A$191,'Risk-Control关系'!$B$46)=0,COUNTIF(字段母版!$A$5:$A$191,'Risk-Control关系'!$D$46)=0,AND('Risk-Control关系'!$I$46="Y",'Risk-Control关系'!$G$46&lt;&gt;"Y"),AND('Risk-Control关系'!$J$46="Y",'Risk-Control关系'!$H$46&lt;&gt;"Y"),AND('Risk-Control关系'!$R$46&lt;&gt;"",'Risk-Control关系'!$S$46="")),'Risk-Control关系'!$A$46,"")</f>
        <v/>
      </c>
      <c r="B895" s="24" t="str">
        <f>IF(A895="","",'Risk-Control关系'!$B$46&amp;" -&gt; "&amp;'Risk-Control关系'!$D$46)</f>
        <v/>
      </c>
      <c r="C895" s="24" t="str">
        <f>IF(A895="","",'Risk-Control关系'!$M$46)</f>
        <v/>
      </c>
      <c r="D895" s="24" t="str">
        <f>IF(A895="","",IF(COUNTIF('Risk-Control关系'!$A$5:$A$72,'Risk-Control关系'!$A$46)&gt;1,"重复关系",IF(COUNTIF(字段母版!$A$5:$A$191,'Risk-Control关系'!$B$46)=0,"Risk 端点不存在",IF(COUNTIF(字段母版!$A$5:$A$191,'Risk-Control关系'!$D$46)=0,"Control 端点不存在",IF(OR(AND('Risk-Control关系'!$I$46="Y",'Risk-Control关系'!$G$46&lt;&gt;"Y"),AND('Risk-Control关系'!$J$46="Y",'Risk-Control关系'!$H$46&lt;&gt;"Y")),"适用层级冲突","声称映射但缺 v4 证据")))))</f>
        <v/>
      </c>
    </row>
    <row r="896" spans="1:4" x14ac:dyDescent="0.25">
      <c r="A896" s="24" t="str">
        <f>IF(OR(COUNTIF('Risk-Control关系'!$A$5:$A$72,'Risk-Control关系'!$A$47)&gt;1,COUNTIF(字段母版!$A$5:$A$191,'Risk-Control关系'!$B$47)=0,COUNTIF(字段母版!$A$5:$A$191,'Risk-Control关系'!$D$47)=0,AND('Risk-Control关系'!$I$47="Y",'Risk-Control关系'!$G$47&lt;&gt;"Y"),AND('Risk-Control关系'!$J$47="Y",'Risk-Control关系'!$H$47&lt;&gt;"Y"),AND('Risk-Control关系'!$R$47&lt;&gt;"",'Risk-Control关系'!$S$47="")),'Risk-Control关系'!$A$47,"")</f>
        <v/>
      </c>
      <c r="B896" s="24" t="str">
        <f>IF(A896="","",'Risk-Control关系'!$B$47&amp;" -&gt; "&amp;'Risk-Control关系'!$D$47)</f>
        <v/>
      </c>
      <c r="C896" s="24" t="str">
        <f>IF(A896="","",'Risk-Control关系'!$M$47)</f>
        <v/>
      </c>
      <c r="D896" s="24" t="str">
        <f>IF(A896="","",IF(COUNTIF('Risk-Control关系'!$A$5:$A$72,'Risk-Control关系'!$A$47)&gt;1,"重复关系",IF(COUNTIF(字段母版!$A$5:$A$191,'Risk-Control关系'!$B$47)=0,"Risk 端点不存在",IF(COUNTIF(字段母版!$A$5:$A$191,'Risk-Control关系'!$D$47)=0,"Control 端点不存在",IF(OR(AND('Risk-Control关系'!$I$47="Y",'Risk-Control关系'!$G$47&lt;&gt;"Y"),AND('Risk-Control关系'!$J$47="Y",'Risk-Control关系'!$H$47&lt;&gt;"Y")),"适用层级冲突","声称映射但缺 v4 证据")))))</f>
        <v/>
      </c>
    </row>
    <row r="897" spans="1:4" x14ac:dyDescent="0.25">
      <c r="A897" s="24" t="str">
        <f>IF(OR(COUNTIF('Risk-Control关系'!$A$5:$A$72,'Risk-Control关系'!$A$48)&gt;1,COUNTIF(字段母版!$A$5:$A$191,'Risk-Control关系'!$B$48)=0,COUNTIF(字段母版!$A$5:$A$191,'Risk-Control关系'!$D$48)=0,AND('Risk-Control关系'!$I$48="Y",'Risk-Control关系'!$G$48&lt;&gt;"Y"),AND('Risk-Control关系'!$J$48="Y",'Risk-Control关系'!$H$48&lt;&gt;"Y"),AND('Risk-Control关系'!$R$48&lt;&gt;"",'Risk-Control关系'!$S$48="")),'Risk-Control关系'!$A$48,"")</f>
        <v/>
      </c>
      <c r="B897" s="24" t="str">
        <f>IF(A897="","",'Risk-Control关系'!$B$48&amp;" -&gt; "&amp;'Risk-Control关系'!$D$48)</f>
        <v/>
      </c>
      <c r="C897" s="24" t="str">
        <f>IF(A897="","",'Risk-Control关系'!$M$48)</f>
        <v/>
      </c>
      <c r="D897" s="24" t="str">
        <f>IF(A897="","",IF(COUNTIF('Risk-Control关系'!$A$5:$A$72,'Risk-Control关系'!$A$48)&gt;1,"重复关系",IF(COUNTIF(字段母版!$A$5:$A$191,'Risk-Control关系'!$B$48)=0,"Risk 端点不存在",IF(COUNTIF(字段母版!$A$5:$A$191,'Risk-Control关系'!$D$48)=0,"Control 端点不存在",IF(OR(AND('Risk-Control关系'!$I$48="Y",'Risk-Control关系'!$G$48&lt;&gt;"Y"),AND('Risk-Control关系'!$J$48="Y",'Risk-Control关系'!$H$48&lt;&gt;"Y")),"适用层级冲突","声称映射但缺 v4 证据")))))</f>
        <v/>
      </c>
    </row>
    <row r="898" spans="1:4" x14ac:dyDescent="0.25">
      <c r="A898" s="24" t="str">
        <f>IF(OR(COUNTIF('Risk-Control关系'!$A$5:$A$72,'Risk-Control关系'!$A$49)&gt;1,COUNTIF(字段母版!$A$5:$A$191,'Risk-Control关系'!$B$49)=0,COUNTIF(字段母版!$A$5:$A$191,'Risk-Control关系'!$D$49)=0,AND('Risk-Control关系'!$I$49="Y",'Risk-Control关系'!$G$49&lt;&gt;"Y"),AND('Risk-Control关系'!$J$49="Y",'Risk-Control关系'!$H$49&lt;&gt;"Y"),AND('Risk-Control关系'!$R$49&lt;&gt;"",'Risk-Control关系'!$S$49="")),'Risk-Control关系'!$A$49,"")</f>
        <v/>
      </c>
      <c r="B898" s="24" t="str">
        <f>IF(A898="","",'Risk-Control关系'!$B$49&amp;" -&gt; "&amp;'Risk-Control关系'!$D$49)</f>
        <v/>
      </c>
      <c r="C898" s="24" t="str">
        <f>IF(A898="","",'Risk-Control关系'!$M$49)</f>
        <v/>
      </c>
      <c r="D898" s="24" t="str">
        <f>IF(A898="","",IF(COUNTIF('Risk-Control关系'!$A$5:$A$72,'Risk-Control关系'!$A$49)&gt;1,"重复关系",IF(COUNTIF(字段母版!$A$5:$A$191,'Risk-Control关系'!$B$49)=0,"Risk 端点不存在",IF(COUNTIF(字段母版!$A$5:$A$191,'Risk-Control关系'!$D$49)=0,"Control 端点不存在",IF(OR(AND('Risk-Control关系'!$I$49="Y",'Risk-Control关系'!$G$49&lt;&gt;"Y"),AND('Risk-Control关系'!$J$49="Y",'Risk-Control关系'!$H$49&lt;&gt;"Y")),"适用层级冲突","声称映射但缺 v4 证据")))))</f>
        <v/>
      </c>
    </row>
    <row r="899" spans="1:4" x14ac:dyDescent="0.25">
      <c r="A899" s="24" t="str">
        <f>IF(OR(COUNTIF('Risk-Control关系'!$A$5:$A$72,'Risk-Control关系'!$A$50)&gt;1,COUNTIF(字段母版!$A$5:$A$191,'Risk-Control关系'!$B$50)=0,COUNTIF(字段母版!$A$5:$A$191,'Risk-Control关系'!$D$50)=0,AND('Risk-Control关系'!$I$50="Y",'Risk-Control关系'!$G$50&lt;&gt;"Y"),AND('Risk-Control关系'!$J$50="Y",'Risk-Control关系'!$H$50&lt;&gt;"Y"),AND('Risk-Control关系'!$R$50&lt;&gt;"",'Risk-Control关系'!$S$50="")),'Risk-Control关系'!$A$50,"")</f>
        <v/>
      </c>
      <c r="B899" s="24" t="str">
        <f>IF(A899="","",'Risk-Control关系'!$B$50&amp;" -&gt; "&amp;'Risk-Control关系'!$D$50)</f>
        <v/>
      </c>
      <c r="C899" s="24" t="str">
        <f>IF(A899="","",'Risk-Control关系'!$M$50)</f>
        <v/>
      </c>
      <c r="D899" s="24" t="str">
        <f>IF(A899="","",IF(COUNTIF('Risk-Control关系'!$A$5:$A$72,'Risk-Control关系'!$A$50)&gt;1,"重复关系",IF(COUNTIF(字段母版!$A$5:$A$191,'Risk-Control关系'!$B$50)=0,"Risk 端点不存在",IF(COUNTIF(字段母版!$A$5:$A$191,'Risk-Control关系'!$D$50)=0,"Control 端点不存在",IF(OR(AND('Risk-Control关系'!$I$50="Y",'Risk-Control关系'!$G$50&lt;&gt;"Y"),AND('Risk-Control关系'!$J$50="Y",'Risk-Control关系'!$H$50&lt;&gt;"Y")),"适用层级冲突","声称映射但缺 v4 证据")))))</f>
        <v/>
      </c>
    </row>
    <row r="900" spans="1:4" x14ac:dyDescent="0.25">
      <c r="A900" s="24" t="str">
        <f>IF(OR(COUNTIF('Risk-Control关系'!$A$5:$A$72,'Risk-Control关系'!$A$51)&gt;1,COUNTIF(字段母版!$A$5:$A$191,'Risk-Control关系'!$B$51)=0,COUNTIF(字段母版!$A$5:$A$191,'Risk-Control关系'!$D$51)=0,AND('Risk-Control关系'!$I$51="Y",'Risk-Control关系'!$G$51&lt;&gt;"Y"),AND('Risk-Control关系'!$J$51="Y",'Risk-Control关系'!$H$51&lt;&gt;"Y"),AND('Risk-Control关系'!$R$51&lt;&gt;"",'Risk-Control关系'!$S$51="")),'Risk-Control关系'!$A$51,"")</f>
        <v/>
      </c>
      <c r="B900" s="24" t="str">
        <f>IF(A900="","",'Risk-Control关系'!$B$51&amp;" -&gt; "&amp;'Risk-Control关系'!$D$51)</f>
        <v/>
      </c>
      <c r="C900" s="24" t="str">
        <f>IF(A900="","",'Risk-Control关系'!$M$51)</f>
        <v/>
      </c>
      <c r="D900" s="24" t="str">
        <f>IF(A900="","",IF(COUNTIF('Risk-Control关系'!$A$5:$A$72,'Risk-Control关系'!$A$51)&gt;1,"重复关系",IF(COUNTIF(字段母版!$A$5:$A$191,'Risk-Control关系'!$B$51)=0,"Risk 端点不存在",IF(COUNTIF(字段母版!$A$5:$A$191,'Risk-Control关系'!$D$51)=0,"Control 端点不存在",IF(OR(AND('Risk-Control关系'!$I$51="Y",'Risk-Control关系'!$G$51&lt;&gt;"Y"),AND('Risk-Control关系'!$J$51="Y",'Risk-Control关系'!$H$51&lt;&gt;"Y")),"适用层级冲突","声称映射但缺 v4 证据")))))</f>
        <v/>
      </c>
    </row>
    <row r="901" spans="1:4" x14ac:dyDescent="0.25">
      <c r="A901" s="24" t="str">
        <f>IF(OR(COUNTIF('Risk-Control关系'!$A$5:$A$72,'Risk-Control关系'!$A$52)&gt;1,COUNTIF(字段母版!$A$5:$A$191,'Risk-Control关系'!$B$52)=0,COUNTIF(字段母版!$A$5:$A$191,'Risk-Control关系'!$D$52)=0,AND('Risk-Control关系'!$I$52="Y",'Risk-Control关系'!$G$52&lt;&gt;"Y"),AND('Risk-Control关系'!$J$52="Y",'Risk-Control关系'!$H$52&lt;&gt;"Y"),AND('Risk-Control关系'!$R$52&lt;&gt;"",'Risk-Control关系'!$S$52="")),'Risk-Control关系'!$A$52,"")</f>
        <v/>
      </c>
      <c r="B901" s="24" t="str">
        <f>IF(A901="","",'Risk-Control关系'!$B$52&amp;" -&gt; "&amp;'Risk-Control关系'!$D$52)</f>
        <v/>
      </c>
      <c r="C901" s="24" t="str">
        <f>IF(A901="","",'Risk-Control关系'!$M$52)</f>
        <v/>
      </c>
      <c r="D901" s="24" t="str">
        <f>IF(A901="","",IF(COUNTIF('Risk-Control关系'!$A$5:$A$72,'Risk-Control关系'!$A$52)&gt;1,"重复关系",IF(COUNTIF(字段母版!$A$5:$A$191,'Risk-Control关系'!$B$52)=0,"Risk 端点不存在",IF(COUNTIF(字段母版!$A$5:$A$191,'Risk-Control关系'!$D$52)=0,"Control 端点不存在",IF(OR(AND('Risk-Control关系'!$I$52="Y",'Risk-Control关系'!$G$52&lt;&gt;"Y"),AND('Risk-Control关系'!$J$52="Y",'Risk-Control关系'!$H$52&lt;&gt;"Y")),"适用层级冲突","声称映射但缺 v4 证据")))))</f>
        <v/>
      </c>
    </row>
    <row r="902" spans="1:4" x14ac:dyDescent="0.25">
      <c r="A902" s="24" t="str">
        <f>IF(OR(COUNTIF('Risk-Control关系'!$A$5:$A$72,'Risk-Control关系'!$A$53)&gt;1,COUNTIF(字段母版!$A$5:$A$191,'Risk-Control关系'!$B$53)=0,COUNTIF(字段母版!$A$5:$A$191,'Risk-Control关系'!$D$53)=0,AND('Risk-Control关系'!$I$53="Y",'Risk-Control关系'!$G$53&lt;&gt;"Y"),AND('Risk-Control关系'!$J$53="Y",'Risk-Control关系'!$H$53&lt;&gt;"Y"),AND('Risk-Control关系'!$R$53&lt;&gt;"",'Risk-Control关系'!$S$53="")),'Risk-Control关系'!$A$53,"")</f>
        <v/>
      </c>
      <c r="B902" s="24" t="str">
        <f>IF(A902="","",'Risk-Control关系'!$B$53&amp;" -&gt; "&amp;'Risk-Control关系'!$D$53)</f>
        <v/>
      </c>
      <c r="C902" s="24" t="str">
        <f>IF(A902="","",'Risk-Control关系'!$M$53)</f>
        <v/>
      </c>
      <c r="D902" s="24" t="str">
        <f>IF(A902="","",IF(COUNTIF('Risk-Control关系'!$A$5:$A$72,'Risk-Control关系'!$A$53)&gt;1,"重复关系",IF(COUNTIF(字段母版!$A$5:$A$191,'Risk-Control关系'!$B$53)=0,"Risk 端点不存在",IF(COUNTIF(字段母版!$A$5:$A$191,'Risk-Control关系'!$D$53)=0,"Control 端点不存在",IF(OR(AND('Risk-Control关系'!$I$53="Y",'Risk-Control关系'!$G$53&lt;&gt;"Y"),AND('Risk-Control关系'!$J$53="Y",'Risk-Control关系'!$H$53&lt;&gt;"Y")),"适用层级冲突","声称映射但缺 v4 证据")))))</f>
        <v/>
      </c>
    </row>
    <row r="903" spans="1:4" x14ac:dyDescent="0.25">
      <c r="A903" s="24" t="str">
        <f>IF(OR(COUNTIF('Risk-Control关系'!$A$5:$A$72,'Risk-Control关系'!$A$54)&gt;1,COUNTIF(字段母版!$A$5:$A$191,'Risk-Control关系'!$B$54)=0,COUNTIF(字段母版!$A$5:$A$191,'Risk-Control关系'!$D$54)=0,AND('Risk-Control关系'!$I$54="Y",'Risk-Control关系'!$G$54&lt;&gt;"Y"),AND('Risk-Control关系'!$J$54="Y",'Risk-Control关系'!$H$54&lt;&gt;"Y"),AND('Risk-Control关系'!$R$54&lt;&gt;"",'Risk-Control关系'!$S$54="")),'Risk-Control关系'!$A$54,"")</f>
        <v/>
      </c>
      <c r="B903" s="24" t="str">
        <f>IF(A903="","",'Risk-Control关系'!$B$54&amp;" -&gt; "&amp;'Risk-Control关系'!$D$54)</f>
        <v/>
      </c>
      <c r="C903" s="24" t="str">
        <f>IF(A903="","",'Risk-Control关系'!$M$54)</f>
        <v/>
      </c>
      <c r="D903" s="24" t="str">
        <f>IF(A903="","",IF(COUNTIF('Risk-Control关系'!$A$5:$A$72,'Risk-Control关系'!$A$54)&gt;1,"重复关系",IF(COUNTIF(字段母版!$A$5:$A$191,'Risk-Control关系'!$B$54)=0,"Risk 端点不存在",IF(COUNTIF(字段母版!$A$5:$A$191,'Risk-Control关系'!$D$54)=0,"Control 端点不存在",IF(OR(AND('Risk-Control关系'!$I$54="Y",'Risk-Control关系'!$G$54&lt;&gt;"Y"),AND('Risk-Control关系'!$J$54="Y",'Risk-Control关系'!$H$54&lt;&gt;"Y")),"适用层级冲突","声称映射但缺 v4 证据")))))</f>
        <v/>
      </c>
    </row>
    <row r="904" spans="1:4" x14ac:dyDescent="0.25">
      <c r="A904" s="24" t="str">
        <f>IF(OR(COUNTIF('Risk-Control关系'!$A$5:$A$72,'Risk-Control关系'!$A$55)&gt;1,COUNTIF(字段母版!$A$5:$A$191,'Risk-Control关系'!$B$55)=0,COUNTIF(字段母版!$A$5:$A$191,'Risk-Control关系'!$D$55)=0,AND('Risk-Control关系'!$I$55="Y",'Risk-Control关系'!$G$55&lt;&gt;"Y"),AND('Risk-Control关系'!$J$55="Y",'Risk-Control关系'!$H$55&lt;&gt;"Y"),AND('Risk-Control关系'!$R$55&lt;&gt;"",'Risk-Control关系'!$S$55="")),'Risk-Control关系'!$A$55,"")</f>
        <v/>
      </c>
      <c r="B904" s="24" t="str">
        <f>IF(A904="","",'Risk-Control关系'!$B$55&amp;" -&gt; "&amp;'Risk-Control关系'!$D$55)</f>
        <v/>
      </c>
      <c r="C904" s="24" t="str">
        <f>IF(A904="","",'Risk-Control关系'!$M$55)</f>
        <v/>
      </c>
      <c r="D904" s="24" t="str">
        <f>IF(A904="","",IF(COUNTIF('Risk-Control关系'!$A$5:$A$72,'Risk-Control关系'!$A$55)&gt;1,"重复关系",IF(COUNTIF(字段母版!$A$5:$A$191,'Risk-Control关系'!$B$55)=0,"Risk 端点不存在",IF(COUNTIF(字段母版!$A$5:$A$191,'Risk-Control关系'!$D$55)=0,"Control 端点不存在",IF(OR(AND('Risk-Control关系'!$I$55="Y",'Risk-Control关系'!$G$55&lt;&gt;"Y"),AND('Risk-Control关系'!$J$55="Y",'Risk-Control关系'!$H$55&lt;&gt;"Y")),"适用层级冲突","声称映射但缺 v4 证据")))))</f>
        <v/>
      </c>
    </row>
    <row r="905" spans="1:4" x14ac:dyDescent="0.25">
      <c r="A905" s="24" t="str">
        <f>IF(OR(COUNTIF('Risk-Control关系'!$A$5:$A$72,'Risk-Control关系'!$A$56)&gt;1,COUNTIF(字段母版!$A$5:$A$191,'Risk-Control关系'!$B$56)=0,COUNTIF(字段母版!$A$5:$A$191,'Risk-Control关系'!$D$56)=0,AND('Risk-Control关系'!$I$56="Y",'Risk-Control关系'!$G$56&lt;&gt;"Y"),AND('Risk-Control关系'!$J$56="Y",'Risk-Control关系'!$H$56&lt;&gt;"Y"),AND('Risk-Control关系'!$R$56&lt;&gt;"",'Risk-Control关系'!$S$56="")),'Risk-Control关系'!$A$56,"")</f>
        <v/>
      </c>
      <c r="B905" s="24" t="str">
        <f>IF(A905="","",'Risk-Control关系'!$B$56&amp;" -&gt; "&amp;'Risk-Control关系'!$D$56)</f>
        <v/>
      </c>
      <c r="C905" s="24" t="str">
        <f>IF(A905="","",'Risk-Control关系'!$M$56)</f>
        <v/>
      </c>
      <c r="D905" s="24" t="str">
        <f>IF(A905="","",IF(COUNTIF('Risk-Control关系'!$A$5:$A$72,'Risk-Control关系'!$A$56)&gt;1,"重复关系",IF(COUNTIF(字段母版!$A$5:$A$191,'Risk-Control关系'!$B$56)=0,"Risk 端点不存在",IF(COUNTIF(字段母版!$A$5:$A$191,'Risk-Control关系'!$D$56)=0,"Control 端点不存在",IF(OR(AND('Risk-Control关系'!$I$56="Y",'Risk-Control关系'!$G$56&lt;&gt;"Y"),AND('Risk-Control关系'!$J$56="Y",'Risk-Control关系'!$H$56&lt;&gt;"Y")),"适用层级冲突","声称映射但缺 v4 证据")))))</f>
        <v/>
      </c>
    </row>
    <row r="906" spans="1:4" x14ac:dyDescent="0.25">
      <c r="A906" s="24" t="str">
        <f>IF(OR(COUNTIF('Risk-Control关系'!$A$5:$A$72,'Risk-Control关系'!$A$57)&gt;1,COUNTIF(字段母版!$A$5:$A$191,'Risk-Control关系'!$B$57)=0,COUNTIF(字段母版!$A$5:$A$191,'Risk-Control关系'!$D$57)=0,AND('Risk-Control关系'!$I$57="Y",'Risk-Control关系'!$G$57&lt;&gt;"Y"),AND('Risk-Control关系'!$J$57="Y",'Risk-Control关系'!$H$57&lt;&gt;"Y"),AND('Risk-Control关系'!$R$57&lt;&gt;"",'Risk-Control关系'!$S$57="")),'Risk-Control关系'!$A$57,"")</f>
        <v/>
      </c>
      <c r="B906" s="24" t="str">
        <f>IF(A906="","",'Risk-Control关系'!$B$57&amp;" -&gt; "&amp;'Risk-Control关系'!$D$57)</f>
        <v/>
      </c>
      <c r="C906" s="24" t="str">
        <f>IF(A906="","",'Risk-Control关系'!$M$57)</f>
        <v/>
      </c>
      <c r="D906" s="24" t="str">
        <f>IF(A906="","",IF(COUNTIF('Risk-Control关系'!$A$5:$A$72,'Risk-Control关系'!$A$57)&gt;1,"重复关系",IF(COUNTIF(字段母版!$A$5:$A$191,'Risk-Control关系'!$B$57)=0,"Risk 端点不存在",IF(COUNTIF(字段母版!$A$5:$A$191,'Risk-Control关系'!$D$57)=0,"Control 端点不存在",IF(OR(AND('Risk-Control关系'!$I$57="Y",'Risk-Control关系'!$G$57&lt;&gt;"Y"),AND('Risk-Control关系'!$J$57="Y",'Risk-Control关系'!$H$57&lt;&gt;"Y")),"适用层级冲突","声称映射但缺 v4 证据")))))</f>
        <v/>
      </c>
    </row>
    <row r="907" spans="1:4" x14ac:dyDescent="0.25">
      <c r="A907" s="24" t="str">
        <f>IF(OR(COUNTIF('Risk-Control关系'!$A$5:$A$72,'Risk-Control关系'!$A$58)&gt;1,COUNTIF(字段母版!$A$5:$A$191,'Risk-Control关系'!$B$58)=0,COUNTIF(字段母版!$A$5:$A$191,'Risk-Control关系'!$D$58)=0,AND('Risk-Control关系'!$I$58="Y",'Risk-Control关系'!$G$58&lt;&gt;"Y"),AND('Risk-Control关系'!$J$58="Y",'Risk-Control关系'!$H$58&lt;&gt;"Y"),AND('Risk-Control关系'!$R$58&lt;&gt;"",'Risk-Control关系'!$S$58="")),'Risk-Control关系'!$A$58,"")</f>
        <v/>
      </c>
      <c r="B907" s="24" t="str">
        <f>IF(A907="","",'Risk-Control关系'!$B$58&amp;" -&gt; "&amp;'Risk-Control关系'!$D$58)</f>
        <v/>
      </c>
      <c r="C907" s="24" t="str">
        <f>IF(A907="","",'Risk-Control关系'!$M$58)</f>
        <v/>
      </c>
      <c r="D907" s="24" t="str">
        <f>IF(A907="","",IF(COUNTIF('Risk-Control关系'!$A$5:$A$72,'Risk-Control关系'!$A$58)&gt;1,"重复关系",IF(COUNTIF(字段母版!$A$5:$A$191,'Risk-Control关系'!$B$58)=0,"Risk 端点不存在",IF(COUNTIF(字段母版!$A$5:$A$191,'Risk-Control关系'!$D$58)=0,"Control 端点不存在",IF(OR(AND('Risk-Control关系'!$I$58="Y",'Risk-Control关系'!$G$58&lt;&gt;"Y"),AND('Risk-Control关系'!$J$58="Y",'Risk-Control关系'!$H$58&lt;&gt;"Y")),"适用层级冲突","声称映射但缺 v4 证据")))))</f>
        <v/>
      </c>
    </row>
    <row r="908" spans="1:4" x14ac:dyDescent="0.25">
      <c r="A908" s="24" t="str">
        <f>IF(OR(COUNTIF('Risk-Control关系'!$A$5:$A$72,'Risk-Control关系'!$A$59)&gt;1,COUNTIF(字段母版!$A$5:$A$191,'Risk-Control关系'!$B$59)=0,COUNTIF(字段母版!$A$5:$A$191,'Risk-Control关系'!$D$59)=0,AND('Risk-Control关系'!$I$59="Y",'Risk-Control关系'!$G$59&lt;&gt;"Y"),AND('Risk-Control关系'!$J$59="Y",'Risk-Control关系'!$H$59&lt;&gt;"Y"),AND('Risk-Control关系'!$R$59&lt;&gt;"",'Risk-Control关系'!$S$59="")),'Risk-Control关系'!$A$59,"")</f>
        <v/>
      </c>
      <c r="B908" s="24" t="str">
        <f>IF(A908="","",'Risk-Control关系'!$B$59&amp;" -&gt; "&amp;'Risk-Control关系'!$D$59)</f>
        <v/>
      </c>
      <c r="C908" s="24" t="str">
        <f>IF(A908="","",'Risk-Control关系'!$M$59)</f>
        <v/>
      </c>
      <c r="D908" s="24" t="str">
        <f>IF(A908="","",IF(COUNTIF('Risk-Control关系'!$A$5:$A$72,'Risk-Control关系'!$A$59)&gt;1,"重复关系",IF(COUNTIF(字段母版!$A$5:$A$191,'Risk-Control关系'!$B$59)=0,"Risk 端点不存在",IF(COUNTIF(字段母版!$A$5:$A$191,'Risk-Control关系'!$D$59)=0,"Control 端点不存在",IF(OR(AND('Risk-Control关系'!$I$59="Y",'Risk-Control关系'!$G$59&lt;&gt;"Y"),AND('Risk-Control关系'!$J$59="Y",'Risk-Control关系'!$H$59&lt;&gt;"Y")),"适用层级冲突","声称映射但缺 v4 证据")))))</f>
        <v/>
      </c>
    </row>
    <row r="909" spans="1:4" x14ac:dyDescent="0.25">
      <c r="A909" s="24" t="str">
        <f>IF(OR(COUNTIF('Risk-Control关系'!$A$5:$A$72,'Risk-Control关系'!$A$60)&gt;1,COUNTIF(字段母版!$A$5:$A$191,'Risk-Control关系'!$B$60)=0,COUNTIF(字段母版!$A$5:$A$191,'Risk-Control关系'!$D$60)=0,AND('Risk-Control关系'!$I$60="Y",'Risk-Control关系'!$G$60&lt;&gt;"Y"),AND('Risk-Control关系'!$J$60="Y",'Risk-Control关系'!$H$60&lt;&gt;"Y"),AND('Risk-Control关系'!$R$60&lt;&gt;"",'Risk-Control关系'!$S$60="")),'Risk-Control关系'!$A$60,"")</f>
        <v/>
      </c>
      <c r="B909" s="24" t="str">
        <f>IF(A909="","",'Risk-Control关系'!$B$60&amp;" -&gt; "&amp;'Risk-Control关系'!$D$60)</f>
        <v/>
      </c>
      <c r="C909" s="24" t="str">
        <f>IF(A909="","",'Risk-Control关系'!$M$60)</f>
        <v/>
      </c>
      <c r="D909" s="24" t="str">
        <f>IF(A909="","",IF(COUNTIF('Risk-Control关系'!$A$5:$A$72,'Risk-Control关系'!$A$60)&gt;1,"重复关系",IF(COUNTIF(字段母版!$A$5:$A$191,'Risk-Control关系'!$B$60)=0,"Risk 端点不存在",IF(COUNTIF(字段母版!$A$5:$A$191,'Risk-Control关系'!$D$60)=0,"Control 端点不存在",IF(OR(AND('Risk-Control关系'!$I$60="Y",'Risk-Control关系'!$G$60&lt;&gt;"Y"),AND('Risk-Control关系'!$J$60="Y",'Risk-Control关系'!$H$60&lt;&gt;"Y")),"适用层级冲突","声称映射但缺 v4 证据")))))</f>
        <v/>
      </c>
    </row>
    <row r="910" spans="1:4" x14ac:dyDescent="0.25">
      <c r="A910" s="24" t="str">
        <f>IF(OR(COUNTIF('Risk-Control关系'!$A$5:$A$72,'Risk-Control关系'!$A$61)&gt;1,COUNTIF(字段母版!$A$5:$A$191,'Risk-Control关系'!$B$61)=0,COUNTIF(字段母版!$A$5:$A$191,'Risk-Control关系'!$D$61)=0,AND('Risk-Control关系'!$I$61="Y",'Risk-Control关系'!$G$61&lt;&gt;"Y"),AND('Risk-Control关系'!$J$61="Y",'Risk-Control关系'!$H$61&lt;&gt;"Y"),AND('Risk-Control关系'!$R$61&lt;&gt;"",'Risk-Control关系'!$S$61="")),'Risk-Control关系'!$A$61,"")</f>
        <v/>
      </c>
      <c r="B910" s="24" t="str">
        <f>IF(A910="","",'Risk-Control关系'!$B$61&amp;" -&gt; "&amp;'Risk-Control关系'!$D$61)</f>
        <v/>
      </c>
      <c r="C910" s="24" t="str">
        <f>IF(A910="","",'Risk-Control关系'!$M$61)</f>
        <v/>
      </c>
      <c r="D910" s="24" t="str">
        <f>IF(A910="","",IF(COUNTIF('Risk-Control关系'!$A$5:$A$72,'Risk-Control关系'!$A$61)&gt;1,"重复关系",IF(COUNTIF(字段母版!$A$5:$A$191,'Risk-Control关系'!$B$61)=0,"Risk 端点不存在",IF(COUNTIF(字段母版!$A$5:$A$191,'Risk-Control关系'!$D$61)=0,"Control 端点不存在",IF(OR(AND('Risk-Control关系'!$I$61="Y",'Risk-Control关系'!$G$61&lt;&gt;"Y"),AND('Risk-Control关系'!$J$61="Y",'Risk-Control关系'!$H$61&lt;&gt;"Y")),"适用层级冲突","声称映射但缺 v4 证据")))))</f>
        <v/>
      </c>
    </row>
    <row r="911" spans="1:4" x14ac:dyDescent="0.25">
      <c r="A911" s="24" t="str">
        <f>IF(OR(COUNTIF('Risk-Control关系'!$A$5:$A$72,'Risk-Control关系'!$A$62)&gt;1,COUNTIF(字段母版!$A$5:$A$191,'Risk-Control关系'!$B$62)=0,COUNTIF(字段母版!$A$5:$A$191,'Risk-Control关系'!$D$62)=0,AND('Risk-Control关系'!$I$62="Y",'Risk-Control关系'!$G$62&lt;&gt;"Y"),AND('Risk-Control关系'!$J$62="Y",'Risk-Control关系'!$H$62&lt;&gt;"Y"),AND('Risk-Control关系'!$R$62&lt;&gt;"",'Risk-Control关系'!$S$62="")),'Risk-Control关系'!$A$62,"")</f>
        <v/>
      </c>
      <c r="B911" s="24" t="str">
        <f>IF(A911="","",'Risk-Control关系'!$B$62&amp;" -&gt; "&amp;'Risk-Control关系'!$D$62)</f>
        <v/>
      </c>
      <c r="C911" s="24" t="str">
        <f>IF(A911="","",'Risk-Control关系'!$M$62)</f>
        <v/>
      </c>
      <c r="D911" s="24" t="str">
        <f>IF(A911="","",IF(COUNTIF('Risk-Control关系'!$A$5:$A$72,'Risk-Control关系'!$A$62)&gt;1,"重复关系",IF(COUNTIF(字段母版!$A$5:$A$191,'Risk-Control关系'!$B$62)=0,"Risk 端点不存在",IF(COUNTIF(字段母版!$A$5:$A$191,'Risk-Control关系'!$D$62)=0,"Control 端点不存在",IF(OR(AND('Risk-Control关系'!$I$62="Y",'Risk-Control关系'!$G$62&lt;&gt;"Y"),AND('Risk-Control关系'!$J$62="Y",'Risk-Control关系'!$H$62&lt;&gt;"Y")),"适用层级冲突","声称映射但缺 v4 证据")))))</f>
        <v/>
      </c>
    </row>
    <row r="912" spans="1:4" x14ac:dyDescent="0.25">
      <c r="A912" s="24" t="str">
        <f>IF(OR(COUNTIF('Risk-Control关系'!$A$5:$A$72,'Risk-Control关系'!$A$63)&gt;1,COUNTIF(字段母版!$A$5:$A$191,'Risk-Control关系'!$B$63)=0,COUNTIF(字段母版!$A$5:$A$191,'Risk-Control关系'!$D$63)=0,AND('Risk-Control关系'!$I$63="Y",'Risk-Control关系'!$G$63&lt;&gt;"Y"),AND('Risk-Control关系'!$J$63="Y",'Risk-Control关系'!$H$63&lt;&gt;"Y"),AND('Risk-Control关系'!$R$63&lt;&gt;"",'Risk-Control关系'!$S$63="")),'Risk-Control关系'!$A$63,"")</f>
        <v/>
      </c>
      <c r="B912" s="24" t="str">
        <f>IF(A912="","",'Risk-Control关系'!$B$63&amp;" -&gt; "&amp;'Risk-Control关系'!$D$63)</f>
        <v/>
      </c>
      <c r="C912" s="24" t="str">
        <f>IF(A912="","",'Risk-Control关系'!$M$63)</f>
        <v/>
      </c>
      <c r="D912" s="24" t="str">
        <f>IF(A912="","",IF(COUNTIF('Risk-Control关系'!$A$5:$A$72,'Risk-Control关系'!$A$63)&gt;1,"重复关系",IF(COUNTIF(字段母版!$A$5:$A$191,'Risk-Control关系'!$B$63)=0,"Risk 端点不存在",IF(COUNTIF(字段母版!$A$5:$A$191,'Risk-Control关系'!$D$63)=0,"Control 端点不存在",IF(OR(AND('Risk-Control关系'!$I$63="Y",'Risk-Control关系'!$G$63&lt;&gt;"Y"),AND('Risk-Control关系'!$J$63="Y",'Risk-Control关系'!$H$63&lt;&gt;"Y")),"适用层级冲突","声称映射但缺 v4 证据")))))</f>
        <v/>
      </c>
    </row>
    <row r="913" spans="1:7" x14ac:dyDescent="0.25">
      <c r="A913" s="24" t="str">
        <f>IF(OR(COUNTIF('Risk-Control关系'!$A$5:$A$72,'Risk-Control关系'!$A$64)&gt;1,COUNTIF(字段母版!$A$5:$A$191,'Risk-Control关系'!$B$64)=0,COUNTIF(字段母版!$A$5:$A$191,'Risk-Control关系'!$D$64)=0,AND('Risk-Control关系'!$I$64="Y",'Risk-Control关系'!$G$64&lt;&gt;"Y"),AND('Risk-Control关系'!$J$64="Y",'Risk-Control关系'!$H$64&lt;&gt;"Y"),AND('Risk-Control关系'!$R$64&lt;&gt;"",'Risk-Control关系'!$S$64="")),'Risk-Control关系'!$A$64,"")</f>
        <v/>
      </c>
      <c r="B913" s="24" t="str">
        <f>IF(A913="","",'Risk-Control关系'!$B$64&amp;" -&gt; "&amp;'Risk-Control关系'!$D$64)</f>
        <v/>
      </c>
      <c r="C913" s="24" t="str">
        <f>IF(A913="","",'Risk-Control关系'!$M$64)</f>
        <v/>
      </c>
      <c r="D913" s="24" t="str">
        <f>IF(A913="","",IF(COUNTIF('Risk-Control关系'!$A$5:$A$72,'Risk-Control关系'!$A$64)&gt;1,"重复关系",IF(COUNTIF(字段母版!$A$5:$A$191,'Risk-Control关系'!$B$64)=0,"Risk 端点不存在",IF(COUNTIF(字段母版!$A$5:$A$191,'Risk-Control关系'!$D$64)=0,"Control 端点不存在",IF(OR(AND('Risk-Control关系'!$I$64="Y",'Risk-Control关系'!$G$64&lt;&gt;"Y"),AND('Risk-Control关系'!$J$64="Y",'Risk-Control关系'!$H$64&lt;&gt;"Y")),"适用层级冲突","声称映射但缺 v4 证据")))))</f>
        <v/>
      </c>
    </row>
    <row r="914" spans="1:7" x14ac:dyDescent="0.25">
      <c r="A914" s="24" t="str">
        <f>IF(OR(COUNTIF('Risk-Control关系'!$A$5:$A$72,'Risk-Control关系'!$A$65)&gt;1,COUNTIF(字段母版!$A$5:$A$191,'Risk-Control关系'!$B$65)=0,COUNTIF(字段母版!$A$5:$A$191,'Risk-Control关系'!$D$65)=0,AND('Risk-Control关系'!$I$65="Y",'Risk-Control关系'!$G$65&lt;&gt;"Y"),AND('Risk-Control关系'!$J$65="Y",'Risk-Control关系'!$H$65&lt;&gt;"Y"),AND('Risk-Control关系'!$R$65&lt;&gt;"",'Risk-Control关系'!$S$65="")),'Risk-Control关系'!$A$65,"")</f>
        <v/>
      </c>
      <c r="B914" s="24" t="str">
        <f>IF(A914="","",'Risk-Control关系'!$B$65&amp;" -&gt; "&amp;'Risk-Control关系'!$D$65)</f>
        <v/>
      </c>
      <c r="C914" s="24" t="str">
        <f>IF(A914="","",'Risk-Control关系'!$M$65)</f>
        <v/>
      </c>
      <c r="D914" s="24" t="str">
        <f>IF(A914="","",IF(COUNTIF('Risk-Control关系'!$A$5:$A$72,'Risk-Control关系'!$A$65)&gt;1,"重复关系",IF(COUNTIF(字段母版!$A$5:$A$191,'Risk-Control关系'!$B$65)=0,"Risk 端点不存在",IF(COUNTIF(字段母版!$A$5:$A$191,'Risk-Control关系'!$D$65)=0,"Control 端点不存在",IF(OR(AND('Risk-Control关系'!$I$65="Y",'Risk-Control关系'!$G$65&lt;&gt;"Y"),AND('Risk-Control关系'!$J$65="Y",'Risk-Control关系'!$H$65&lt;&gt;"Y")),"适用层级冲突","声称映射但缺 v4 证据")))))</f>
        <v/>
      </c>
    </row>
    <row r="915" spans="1:7" x14ac:dyDescent="0.25">
      <c r="A915" s="24" t="str">
        <f>IF(OR(COUNTIF('Risk-Control关系'!$A$5:$A$72,'Risk-Control关系'!$A$66)&gt;1,COUNTIF(字段母版!$A$5:$A$191,'Risk-Control关系'!$B$66)=0,COUNTIF(字段母版!$A$5:$A$191,'Risk-Control关系'!$D$66)=0,AND('Risk-Control关系'!$I$66="Y",'Risk-Control关系'!$G$66&lt;&gt;"Y"),AND('Risk-Control关系'!$J$66="Y",'Risk-Control关系'!$H$66&lt;&gt;"Y"),AND('Risk-Control关系'!$R$66&lt;&gt;"",'Risk-Control关系'!$S$66="")),'Risk-Control关系'!$A$66,"")</f>
        <v/>
      </c>
      <c r="B915" s="24" t="str">
        <f>IF(A915="","",'Risk-Control关系'!$B$66&amp;" -&gt; "&amp;'Risk-Control关系'!$D$66)</f>
        <v/>
      </c>
      <c r="C915" s="24" t="str">
        <f>IF(A915="","",'Risk-Control关系'!$M$66)</f>
        <v/>
      </c>
      <c r="D915" s="24" t="str">
        <f>IF(A915="","",IF(COUNTIF('Risk-Control关系'!$A$5:$A$72,'Risk-Control关系'!$A$66)&gt;1,"重复关系",IF(COUNTIF(字段母版!$A$5:$A$191,'Risk-Control关系'!$B$66)=0,"Risk 端点不存在",IF(COUNTIF(字段母版!$A$5:$A$191,'Risk-Control关系'!$D$66)=0,"Control 端点不存在",IF(OR(AND('Risk-Control关系'!$I$66="Y",'Risk-Control关系'!$G$66&lt;&gt;"Y"),AND('Risk-Control关系'!$J$66="Y",'Risk-Control关系'!$H$66&lt;&gt;"Y")),"适用层级冲突","声称映射但缺 v4 证据")))))</f>
        <v/>
      </c>
    </row>
    <row r="916" spans="1:7" x14ac:dyDescent="0.25">
      <c r="A916" s="24" t="str">
        <f>IF(OR(COUNTIF('Risk-Control关系'!$A$5:$A$72,'Risk-Control关系'!$A$67)&gt;1,COUNTIF(字段母版!$A$5:$A$191,'Risk-Control关系'!$B$67)=0,COUNTIF(字段母版!$A$5:$A$191,'Risk-Control关系'!$D$67)=0,AND('Risk-Control关系'!$I$67="Y",'Risk-Control关系'!$G$67&lt;&gt;"Y"),AND('Risk-Control关系'!$J$67="Y",'Risk-Control关系'!$H$67&lt;&gt;"Y"),AND('Risk-Control关系'!$R$67&lt;&gt;"",'Risk-Control关系'!$S$67="")),'Risk-Control关系'!$A$67,"")</f>
        <v/>
      </c>
      <c r="B916" s="24" t="str">
        <f>IF(A916="","",'Risk-Control关系'!$B$67&amp;" -&gt; "&amp;'Risk-Control关系'!$D$67)</f>
        <v/>
      </c>
      <c r="C916" s="24" t="str">
        <f>IF(A916="","",'Risk-Control关系'!$M$67)</f>
        <v/>
      </c>
      <c r="D916" s="24" t="str">
        <f>IF(A916="","",IF(COUNTIF('Risk-Control关系'!$A$5:$A$72,'Risk-Control关系'!$A$67)&gt;1,"重复关系",IF(COUNTIF(字段母版!$A$5:$A$191,'Risk-Control关系'!$B$67)=0,"Risk 端点不存在",IF(COUNTIF(字段母版!$A$5:$A$191,'Risk-Control关系'!$D$67)=0,"Control 端点不存在",IF(OR(AND('Risk-Control关系'!$I$67="Y",'Risk-Control关系'!$G$67&lt;&gt;"Y"),AND('Risk-Control关系'!$J$67="Y",'Risk-Control关系'!$H$67&lt;&gt;"Y")),"适用层级冲突","声称映射但缺 v4 证据")))))</f>
        <v/>
      </c>
    </row>
    <row r="917" spans="1:7" x14ac:dyDescent="0.25">
      <c r="A917" s="24" t="str">
        <f>IF(OR(COUNTIF('Risk-Control关系'!$A$5:$A$72,'Risk-Control关系'!$A$68)&gt;1,COUNTIF(字段母版!$A$5:$A$191,'Risk-Control关系'!$B$68)=0,COUNTIF(字段母版!$A$5:$A$191,'Risk-Control关系'!$D$68)=0,AND('Risk-Control关系'!$I$68="Y",'Risk-Control关系'!$G$68&lt;&gt;"Y"),AND('Risk-Control关系'!$J$68="Y",'Risk-Control关系'!$H$68&lt;&gt;"Y"),AND('Risk-Control关系'!$R$68&lt;&gt;"",'Risk-Control关系'!$S$68="")),'Risk-Control关系'!$A$68,"")</f>
        <v/>
      </c>
      <c r="B917" s="24" t="str">
        <f>IF(A917="","",'Risk-Control关系'!$B$68&amp;" -&gt; "&amp;'Risk-Control关系'!$D$68)</f>
        <v/>
      </c>
      <c r="C917" s="24" t="str">
        <f>IF(A917="","",'Risk-Control关系'!$M$68)</f>
        <v/>
      </c>
      <c r="D917" s="24" t="str">
        <f>IF(A917="","",IF(COUNTIF('Risk-Control关系'!$A$5:$A$72,'Risk-Control关系'!$A$68)&gt;1,"重复关系",IF(COUNTIF(字段母版!$A$5:$A$191,'Risk-Control关系'!$B$68)=0,"Risk 端点不存在",IF(COUNTIF(字段母版!$A$5:$A$191,'Risk-Control关系'!$D$68)=0,"Control 端点不存在",IF(OR(AND('Risk-Control关系'!$I$68="Y",'Risk-Control关系'!$G$68&lt;&gt;"Y"),AND('Risk-Control关系'!$J$68="Y",'Risk-Control关系'!$H$68&lt;&gt;"Y")),"适用层级冲突","声称映射但缺 v4 证据")))))</f>
        <v/>
      </c>
    </row>
    <row r="918" spans="1:7" x14ac:dyDescent="0.25">
      <c r="A918" s="24" t="str">
        <f>IF(OR(COUNTIF('Risk-Control关系'!$A$5:$A$72,'Risk-Control关系'!$A$69)&gt;1,COUNTIF(字段母版!$A$5:$A$191,'Risk-Control关系'!$B$69)=0,COUNTIF(字段母版!$A$5:$A$191,'Risk-Control关系'!$D$69)=0,AND('Risk-Control关系'!$I$69="Y",'Risk-Control关系'!$G$69&lt;&gt;"Y"),AND('Risk-Control关系'!$J$69="Y",'Risk-Control关系'!$H$69&lt;&gt;"Y"),AND('Risk-Control关系'!$R$69&lt;&gt;"",'Risk-Control关系'!$S$69="")),'Risk-Control关系'!$A$69,"")</f>
        <v/>
      </c>
      <c r="B918" s="24" t="str">
        <f>IF(A918="","",'Risk-Control关系'!$B$69&amp;" -&gt; "&amp;'Risk-Control关系'!$D$69)</f>
        <v/>
      </c>
      <c r="C918" s="24" t="str">
        <f>IF(A918="","",'Risk-Control关系'!$M$69)</f>
        <v/>
      </c>
      <c r="D918" s="24" t="str">
        <f>IF(A918="","",IF(COUNTIF('Risk-Control关系'!$A$5:$A$72,'Risk-Control关系'!$A$69)&gt;1,"重复关系",IF(COUNTIF(字段母版!$A$5:$A$191,'Risk-Control关系'!$B$69)=0,"Risk 端点不存在",IF(COUNTIF(字段母版!$A$5:$A$191,'Risk-Control关系'!$D$69)=0,"Control 端点不存在",IF(OR(AND('Risk-Control关系'!$I$69="Y",'Risk-Control关系'!$G$69&lt;&gt;"Y"),AND('Risk-Control关系'!$J$69="Y",'Risk-Control关系'!$H$69&lt;&gt;"Y")),"适用层级冲突","声称映射但缺 v4 证据")))))</f>
        <v/>
      </c>
    </row>
    <row r="919" spans="1:7" x14ac:dyDescent="0.25">
      <c r="A919" s="24" t="str">
        <f>IF(OR(COUNTIF('Risk-Control关系'!$A$5:$A$72,'Risk-Control关系'!$A$70)&gt;1,COUNTIF(字段母版!$A$5:$A$191,'Risk-Control关系'!$B$70)=0,COUNTIF(字段母版!$A$5:$A$191,'Risk-Control关系'!$D$70)=0,AND('Risk-Control关系'!$I$70="Y",'Risk-Control关系'!$G$70&lt;&gt;"Y"),AND('Risk-Control关系'!$J$70="Y",'Risk-Control关系'!$H$70&lt;&gt;"Y"),AND('Risk-Control关系'!$R$70&lt;&gt;"",'Risk-Control关系'!$S$70="")),'Risk-Control关系'!$A$70,"")</f>
        <v/>
      </c>
      <c r="B919" s="24" t="str">
        <f>IF(A919="","",'Risk-Control关系'!$B$70&amp;" -&gt; "&amp;'Risk-Control关系'!$D$70)</f>
        <v/>
      </c>
      <c r="C919" s="24" t="str">
        <f>IF(A919="","",'Risk-Control关系'!$M$70)</f>
        <v/>
      </c>
      <c r="D919" s="24" t="str">
        <f>IF(A919="","",IF(COUNTIF('Risk-Control关系'!$A$5:$A$72,'Risk-Control关系'!$A$70)&gt;1,"重复关系",IF(COUNTIF(字段母版!$A$5:$A$191,'Risk-Control关系'!$B$70)=0,"Risk 端点不存在",IF(COUNTIF(字段母版!$A$5:$A$191,'Risk-Control关系'!$D$70)=0,"Control 端点不存在",IF(OR(AND('Risk-Control关系'!$I$70="Y",'Risk-Control关系'!$G$70&lt;&gt;"Y"),AND('Risk-Control关系'!$J$70="Y",'Risk-Control关系'!$H$70&lt;&gt;"Y")),"适用层级冲突","声称映射但缺 v4 证据")))))</f>
        <v/>
      </c>
    </row>
    <row r="920" spans="1:7" x14ac:dyDescent="0.25">
      <c r="A920" s="24" t="str">
        <f>IF(OR(COUNTIF('Risk-Control关系'!$A$5:$A$72,'Risk-Control关系'!$A$71)&gt;1,COUNTIF(字段母版!$A$5:$A$191,'Risk-Control关系'!$B$71)=0,COUNTIF(字段母版!$A$5:$A$191,'Risk-Control关系'!$D$71)=0,AND('Risk-Control关系'!$I$71="Y",'Risk-Control关系'!$G$71&lt;&gt;"Y"),AND('Risk-Control关系'!$J$71="Y",'Risk-Control关系'!$H$71&lt;&gt;"Y"),AND('Risk-Control关系'!$R$71&lt;&gt;"",'Risk-Control关系'!$S$71="")),'Risk-Control关系'!$A$71,"")</f>
        <v/>
      </c>
      <c r="B920" s="24" t="str">
        <f>IF(A920="","",'Risk-Control关系'!$B$71&amp;" -&gt; "&amp;'Risk-Control关系'!$D$71)</f>
        <v/>
      </c>
      <c r="C920" s="24" t="str">
        <f>IF(A920="","",'Risk-Control关系'!$M$71)</f>
        <v/>
      </c>
      <c r="D920" s="24" t="str">
        <f>IF(A920="","",IF(COUNTIF('Risk-Control关系'!$A$5:$A$72,'Risk-Control关系'!$A$71)&gt;1,"重复关系",IF(COUNTIF(字段母版!$A$5:$A$191,'Risk-Control关系'!$B$71)=0,"Risk 端点不存在",IF(COUNTIF(字段母版!$A$5:$A$191,'Risk-Control关系'!$D$71)=0,"Control 端点不存在",IF(OR(AND('Risk-Control关系'!$I$71="Y",'Risk-Control关系'!$G$71&lt;&gt;"Y"),AND('Risk-Control关系'!$J$71="Y",'Risk-Control关系'!$H$71&lt;&gt;"Y")),"适用层级冲突","声称映射但缺 v4 证据")))))</f>
        <v/>
      </c>
    </row>
    <row r="921" spans="1:7" x14ac:dyDescent="0.25">
      <c r="A921" s="25" t="str">
        <f>IF(OR(COUNTIF('Risk-Control关系'!$A$5:$A$72,'Risk-Control关系'!$A$72)&gt;1,COUNTIF(字段母版!$A$5:$A$191,'Risk-Control关系'!$B$72)=0,COUNTIF(字段母版!$A$5:$A$191,'Risk-Control关系'!$D$72)=0,AND('Risk-Control关系'!$I$72="Y",'Risk-Control关系'!$G$72&lt;&gt;"Y"),AND('Risk-Control关系'!$J$72="Y",'Risk-Control关系'!$H$72&lt;&gt;"Y"),AND('Risk-Control关系'!$R$72&lt;&gt;"",'Risk-Control关系'!$S$72="")),'Risk-Control关系'!$A$72,"")</f>
        <v/>
      </c>
      <c r="B921" s="25" t="str">
        <f>IF(A921="","",'Risk-Control关系'!$B$72&amp;" -&gt; "&amp;'Risk-Control关系'!$D$72)</f>
        <v/>
      </c>
      <c r="C921" s="25" t="str">
        <f>IF(A921="","",'Risk-Control关系'!$M$72)</f>
        <v/>
      </c>
      <c r="D921" s="25" t="str">
        <f>IF(A921="","",IF(COUNTIF('Risk-Control关系'!$A$5:$A$72,'Risk-Control关系'!$A$72)&gt;1,"重复关系",IF(COUNTIF(字段母版!$A$5:$A$191,'Risk-Control关系'!$B$72)=0,"Risk 端点不存在",IF(COUNTIF(字段母版!$A$5:$A$191,'Risk-Control关系'!$D$72)=0,"Control 端点不存在",IF(OR(AND('Risk-Control关系'!$I$72="Y",'Risk-Control关系'!$G$72&lt;&gt;"Y"),AND('Risk-Control关系'!$J$72="Y",'Risk-Control关系'!$H$72&lt;&gt;"Y")),"适用层级冲突","声称映射但缺 v4 证据")))))</f>
        <v/>
      </c>
    </row>
    <row r="924" spans="1:7" x14ac:dyDescent="0.25">
      <c r="A924" s="87" t="s">
        <v>1234</v>
      </c>
      <c r="B924" s="73"/>
      <c r="C924" s="73"/>
      <c r="D924" s="73"/>
      <c r="E924" s="73"/>
      <c r="F924" s="73"/>
      <c r="G924" s="73"/>
    </row>
    <row r="925" spans="1:7" x14ac:dyDescent="0.25">
      <c r="A925" s="22" t="s">
        <v>40</v>
      </c>
      <c r="B925" s="22" t="s">
        <v>1235</v>
      </c>
      <c r="C925" s="22" t="s">
        <v>1236</v>
      </c>
      <c r="D925" s="22" t="s">
        <v>1237</v>
      </c>
    </row>
    <row r="926" spans="1:7" x14ac:dyDescent="0.25">
      <c r="A926" s="23" t="str">
        <f>IF(OR(AND(字段母版!$C$5="Risk",COUNTIF('Risk-Control关系'!$B$5:$B$72,字段母版!$A$5)=0),AND(字段母版!$C$5="Control",COUNTIF('Risk-Control关系'!$D$5:$D$72,字段母版!$A$5)=0)),字段母版!$A$5,"")</f>
        <v/>
      </c>
      <c r="B926" s="23" t="str">
        <f>IF(A926="","",字段母版!$C$5)</f>
        <v/>
      </c>
      <c r="C926" s="23" t="str">
        <f>IF(A926="","",字段母版!$G$5)</f>
        <v/>
      </c>
      <c r="D926" s="23" t="str">
        <f>IF(A926="","",IF(字段母版!$C$5="Risk","孤立 Risk（ClassificationNA 可为合法信息项）","孤立 Control"))</f>
        <v/>
      </c>
    </row>
    <row r="927" spans="1:7" x14ac:dyDescent="0.25">
      <c r="A927" s="24" t="str">
        <f>IF(OR(AND(字段母版!$C$6="Risk",COUNTIF('Risk-Control关系'!$B$5:$B$72,字段母版!$A$6)=0),AND(字段母版!$C$6="Control",COUNTIF('Risk-Control关系'!$D$5:$D$72,字段母版!$A$6)=0)),字段母版!$A$6,"")</f>
        <v/>
      </c>
      <c r="B927" s="24" t="str">
        <f>IF(A927="","",字段母版!$C$6)</f>
        <v/>
      </c>
      <c r="C927" s="24" t="str">
        <f>IF(A927="","",字段母版!$G$6)</f>
        <v/>
      </c>
      <c r="D927" s="24" t="str">
        <f>IF(A927="","",IF(字段母版!$C$6="Risk","孤立 Risk（ClassificationNA 可为合法信息项）","孤立 Control"))</f>
        <v/>
      </c>
    </row>
    <row r="928" spans="1:7" x14ac:dyDescent="0.25">
      <c r="A928" s="24" t="str">
        <f>IF(OR(AND(字段母版!$C$7="Risk",COUNTIF('Risk-Control关系'!$B$5:$B$72,字段母版!$A$7)=0),AND(字段母版!$C$7="Control",COUNTIF('Risk-Control关系'!$D$5:$D$72,字段母版!$A$7)=0)),字段母版!$A$7,"")</f>
        <v/>
      </c>
      <c r="B928" s="24" t="str">
        <f>IF(A928="","",字段母版!$C$7)</f>
        <v/>
      </c>
      <c r="C928" s="24" t="str">
        <f>IF(A928="","",字段母版!$G$7)</f>
        <v/>
      </c>
      <c r="D928" s="24" t="str">
        <f>IF(A928="","",IF(字段母版!$C$7="Risk","孤立 Risk（ClassificationNA 可为合法信息项）","孤立 Control"))</f>
        <v/>
      </c>
    </row>
    <row r="929" spans="1:4" x14ac:dyDescent="0.25">
      <c r="A929" s="24" t="str">
        <f>IF(OR(AND(字段母版!$C$8="Risk",COUNTIF('Risk-Control关系'!$B$5:$B$72,字段母版!$A$8)=0),AND(字段母版!$C$8="Control",COUNTIF('Risk-Control关系'!$D$5:$D$72,字段母版!$A$8)=0)),字段母版!$A$8,"")</f>
        <v/>
      </c>
      <c r="B929" s="24" t="str">
        <f>IF(A929="","",字段母版!$C$8)</f>
        <v/>
      </c>
      <c r="C929" s="24" t="str">
        <f>IF(A929="","",字段母版!$G$8)</f>
        <v/>
      </c>
      <c r="D929" s="24" t="str">
        <f>IF(A929="","",IF(字段母版!$C$8="Risk","孤立 Risk（ClassificationNA 可为合法信息项）","孤立 Control"))</f>
        <v/>
      </c>
    </row>
    <row r="930" spans="1:4" x14ac:dyDescent="0.25">
      <c r="A930" s="24" t="str">
        <f>IF(OR(AND(字段母版!$C$9="Risk",COUNTIF('Risk-Control关系'!$B$5:$B$72,字段母版!$A$9)=0),AND(字段母版!$C$9="Control",COUNTIF('Risk-Control关系'!$D$5:$D$72,字段母版!$A$9)=0)),字段母版!$A$9,"")</f>
        <v/>
      </c>
      <c r="B930" s="24" t="str">
        <f>IF(A930="","",字段母版!$C$9)</f>
        <v/>
      </c>
      <c r="C930" s="24" t="str">
        <f>IF(A930="","",字段母版!$G$9)</f>
        <v/>
      </c>
      <c r="D930" s="24" t="str">
        <f>IF(A930="","",IF(字段母版!$C$9="Risk","孤立 Risk（ClassificationNA 可为合法信息项）","孤立 Control"))</f>
        <v/>
      </c>
    </row>
    <row r="931" spans="1:4" x14ac:dyDescent="0.25">
      <c r="A931" s="24" t="str">
        <f>IF(OR(AND(字段母版!$C$10="Risk",COUNTIF('Risk-Control关系'!$B$5:$B$72,字段母版!$A$10)=0),AND(字段母版!$C$10="Control",COUNTIF('Risk-Control关系'!$D$5:$D$72,字段母版!$A$10)=0)),字段母版!$A$10,"")</f>
        <v/>
      </c>
      <c r="B931" s="24" t="str">
        <f>IF(A931="","",字段母版!$C$10)</f>
        <v/>
      </c>
      <c r="C931" s="24" t="str">
        <f>IF(A931="","",字段母版!$G$10)</f>
        <v/>
      </c>
      <c r="D931" s="24" t="str">
        <f>IF(A931="","",IF(字段母版!$C$10="Risk","孤立 Risk（ClassificationNA 可为合法信息项）","孤立 Control"))</f>
        <v/>
      </c>
    </row>
    <row r="932" spans="1:4" x14ac:dyDescent="0.25">
      <c r="A932" s="24" t="str">
        <f>IF(OR(AND(字段母版!$C$11="Risk",COUNTIF('Risk-Control关系'!$B$5:$B$72,字段母版!$A$11)=0),AND(字段母版!$C$11="Control",COUNTIF('Risk-Control关系'!$D$5:$D$72,字段母版!$A$11)=0)),字段母版!$A$11,"")</f>
        <v/>
      </c>
      <c r="B932" s="24" t="str">
        <f>IF(A932="","",字段母版!$C$11)</f>
        <v/>
      </c>
      <c r="C932" s="24" t="str">
        <f>IF(A932="","",字段母版!$G$11)</f>
        <v/>
      </c>
      <c r="D932" s="24" t="str">
        <f>IF(A932="","",IF(字段母版!$C$11="Risk","孤立 Risk（ClassificationNA 可为合法信息项）","孤立 Control"))</f>
        <v/>
      </c>
    </row>
    <row r="933" spans="1:4" x14ac:dyDescent="0.25">
      <c r="A933" s="24" t="str">
        <f>IF(OR(AND(字段母版!$C$12="Risk",COUNTIF('Risk-Control关系'!$B$5:$B$72,字段母版!$A$12)=0),AND(字段母版!$C$12="Control",COUNTIF('Risk-Control关系'!$D$5:$D$72,字段母版!$A$12)=0)),字段母版!$A$12,"")</f>
        <v/>
      </c>
      <c r="B933" s="24" t="str">
        <f>IF(A933="","",字段母版!$C$12)</f>
        <v/>
      </c>
      <c r="C933" s="24" t="str">
        <f>IF(A933="","",字段母版!$G$12)</f>
        <v/>
      </c>
      <c r="D933" s="24" t="str">
        <f>IF(A933="","",IF(字段母版!$C$12="Risk","孤立 Risk（ClassificationNA 可为合法信息项）","孤立 Control"))</f>
        <v/>
      </c>
    </row>
    <row r="934" spans="1:4" x14ac:dyDescent="0.25">
      <c r="A934" s="24" t="str">
        <f>IF(OR(AND(字段母版!$C$13="Risk",COUNTIF('Risk-Control关系'!$B$5:$B$72,字段母版!$A$13)=0),AND(字段母版!$C$13="Control",COUNTIF('Risk-Control关系'!$D$5:$D$72,字段母版!$A$13)=0)),字段母版!$A$13,"")</f>
        <v/>
      </c>
      <c r="B934" s="24" t="str">
        <f>IF(A934="","",字段母版!$C$13)</f>
        <v/>
      </c>
      <c r="C934" s="24" t="str">
        <f>IF(A934="","",字段母版!$G$13)</f>
        <v/>
      </c>
      <c r="D934" s="24" t="str">
        <f>IF(A934="","",IF(字段母版!$C$13="Risk","孤立 Risk（ClassificationNA 可为合法信息项）","孤立 Control"))</f>
        <v/>
      </c>
    </row>
    <row r="935" spans="1:4" x14ac:dyDescent="0.25">
      <c r="A935" s="24" t="str">
        <f>IF(OR(AND(字段母版!$C$14="Risk",COUNTIF('Risk-Control关系'!$B$5:$B$72,字段母版!$A$14)=0),AND(字段母版!$C$14="Control",COUNTIF('Risk-Control关系'!$D$5:$D$72,字段母版!$A$14)=0)),字段母版!$A$14,"")</f>
        <v/>
      </c>
      <c r="B935" s="24" t="str">
        <f>IF(A935="","",字段母版!$C$14)</f>
        <v/>
      </c>
      <c r="C935" s="24" t="str">
        <f>IF(A935="","",字段母版!$G$14)</f>
        <v/>
      </c>
      <c r="D935" s="24" t="str">
        <f>IF(A935="","",IF(字段母版!$C$14="Risk","孤立 Risk（ClassificationNA 可为合法信息项）","孤立 Control"))</f>
        <v/>
      </c>
    </row>
    <row r="936" spans="1:4" x14ac:dyDescent="0.25">
      <c r="A936" s="24" t="str">
        <f>IF(OR(AND(字段母版!$C$15="Risk",COUNTIF('Risk-Control关系'!$B$5:$B$72,字段母版!$A$15)=0),AND(字段母版!$C$15="Control",COUNTIF('Risk-Control关系'!$D$5:$D$72,字段母版!$A$15)=0)),字段母版!$A$15,"")</f>
        <v/>
      </c>
      <c r="B936" s="24" t="str">
        <f>IF(A936="","",字段母版!$C$15)</f>
        <v/>
      </c>
      <c r="C936" s="24" t="str">
        <f>IF(A936="","",字段母版!$G$15)</f>
        <v/>
      </c>
      <c r="D936" s="24" t="str">
        <f>IF(A936="","",IF(字段母版!$C$15="Risk","孤立 Risk（ClassificationNA 可为合法信息项）","孤立 Control"))</f>
        <v/>
      </c>
    </row>
    <row r="937" spans="1:4" x14ac:dyDescent="0.25">
      <c r="A937" s="24" t="str">
        <f>IF(OR(AND(字段母版!$C$16="Risk",COUNTIF('Risk-Control关系'!$B$5:$B$72,字段母版!$A$16)=0),AND(字段母版!$C$16="Control",COUNTIF('Risk-Control关系'!$D$5:$D$72,字段母版!$A$16)=0)),字段母版!$A$16,"")</f>
        <v/>
      </c>
      <c r="B937" s="24" t="str">
        <f>IF(A937="","",字段母版!$C$16)</f>
        <v/>
      </c>
      <c r="C937" s="24" t="str">
        <f>IF(A937="","",字段母版!$G$16)</f>
        <v/>
      </c>
      <c r="D937" s="24" t="str">
        <f>IF(A937="","",IF(字段母版!$C$16="Risk","孤立 Risk（ClassificationNA 可为合法信息项）","孤立 Control"))</f>
        <v/>
      </c>
    </row>
    <row r="938" spans="1:4" x14ac:dyDescent="0.25">
      <c r="A938" s="24" t="str">
        <f>IF(OR(AND(字段母版!$C$17="Risk",COUNTIF('Risk-Control关系'!$B$5:$B$72,字段母版!$A$17)=0),AND(字段母版!$C$17="Control",COUNTIF('Risk-Control关系'!$D$5:$D$72,字段母版!$A$17)=0)),字段母版!$A$17,"")</f>
        <v/>
      </c>
      <c r="B938" s="24" t="str">
        <f>IF(A938="","",字段母版!$C$17)</f>
        <v/>
      </c>
      <c r="C938" s="24" t="str">
        <f>IF(A938="","",字段母版!$G$17)</f>
        <v/>
      </c>
      <c r="D938" s="24" t="str">
        <f>IF(A938="","",IF(字段母版!$C$17="Risk","孤立 Risk（ClassificationNA 可为合法信息项）","孤立 Control"))</f>
        <v/>
      </c>
    </row>
    <row r="939" spans="1:4" x14ac:dyDescent="0.25">
      <c r="A939" s="24" t="str">
        <f>IF(OR(AND(字段母版!$C$18="Risk",COUNTIF('Risk-Control关系'!$B$5:$B$72,字段母版!$A$18)=0),AND(字段母版!$C$18="Control",COUNTIF('Risk-Control关系'!$D$5:$D$72,字段母版!$A$18)=0)),字段母版!$A$18,"")</f>
        <v/>
      </c>
      <c r="B939" s="24" t="str">
        <f>IF(A939="","",字段母版!$C$18)</f>
        <v/>
      </c>
      <c r="C939" s="24" t="str">
        <f>IF(A939="","",字段母版!$G$18)</f>
        <v/>
      </c>
      <c r="D939" s="24" t="str">
        <f>IF(A939="","",IF(字段母版!$C$18="Risk","孤立 Risk（ClassificationNA 可为合法信息项）","孤立 Control"))</f>
        <v/>
      </c>
    </row>
    <row r="940" spans="1:4" x14ac:dyDescent="0.25">
      <c r="A940" s="24" t="str">
        <f>IF(OR(AND(字段母版!$C$19="Risk",COUNTIF('Risk-Control关系'!$B$5:$B$72,字段母版!$A$19)=0),AND(字段母版!$C$19="Control",COUNTIF('Risk-Control关系'!$D$5:$D$72,字段母版!$A$19)=0)),字段母版!$A$19,"")</f>
        <v/>
      </c>
      <c r="B940" s="24" t="str">
        <f>IF(A940="","",字段母版!$C$19)</f>
        <v/>
      </c>
      <c r="C940" s="24" t="str">
        <f>IF(A940="","",字段母版!$G$19)</f>
        <v/>
      </c>
      <c r="D940" s="24" t="str">
        <f>IF(A940="","",IF(字段母版!$C$19="Risk","孤立 Risk（ClassificationNA 可为合法信息项）","孤立 Control"))</f>
        <v/>
      </c>
    </row>
    <row r="941" spans="1:4" x14ac:dyDescent="0.25">
      <c r="A941" s="24" t="str">
        <f>IF(OR(AND(字段母版!$C$20="Risk",COUNTIF('Risk-Control关系'!$B$5:$B$72,字段母版!$A$20)=0),AND(字段母版!$C$20="Control",COUNTIF('Risk-Control关系'!$D$5:$D$72,字段母版!$A$20)=0)),字段母版!$A$20,"")</f>
        <v/>
      </c>
      <c r="B941" s="24" t="str">
        <f>IF(A941="","",字段母版!$C$20)</f>
        <v/>
      </c>
      <c r="C941" s="24" t="str">
        <f>IF(A941="","",字段母版!$G$20)</f>
        <v/>
      </c>
      <c r="D941" s="24" t="str">
        <f>IF(A941="","",IF(字段母版!$C$20="Risk","孤立 Risk（ClassificationNA 可为合法信息项）","孤立 Control"))</f>
        <v/>
      </c>
    </row>
    <row r="942" spans="1:4" x14ac:dyDescent="0.25">
      <c r="A942" s="24" t="str">
        <f>IF(OR(AND(字段母版!$C$21="Risk",COUNTIF('Risk-Control关系'!$B$5:$B$72,字段母版!$A$21)=0),AND(字段母版!$C$21="Control",COUNTIF('Risk-Control关系'!$D$5:$D$72,字段母版!$A$21)=0)),字段母版!$A$21,"")</f>
        <v/>
      </c>
      <c r="B942" s="24" t="str">
        <f>IF(A942="","",字段母版!$C$21)</f>
        <v/>
      </c>
      <c r="C942" s="24" t="str">
        <f>IF(A942="","",字段母版!$G$21)</f>
        <v/>
      </c>
      <c r="D942" s="24" t="str">
        <f>IF(A942="","",IF(字段母版!$C$21="Risk","孤立 Risk（ClassificationNA 可为合法信息项）","孤立 Control"))</f>
        <v/>
      </c>
    </row>
    <row r="943" spans="1:4" x14ac:dyDescent="0.25">
      <c r="A943" s="24" t="str">
        <f>IF(OR(AND(字段母版!$C$22="Risk",COUNTIF('Risk-Control关系'!$B$5:$B$72,字段母版!$A$22)=0),AND(字段母版!$C$22="Control",COUNTIF('Risk-Control关系'!$D$5:$D$72,字段母版!$A$22)=0)),字段母版!$A$22,"")</f>
        <v/>
      </c>
      <c r="B943" s="24" t="str">
        <f>IF(A943="","",字段母版!$C$22)</f>
        <v/>
      </c>
      <c r="C943" s="24" t="str">
        <f>IF(A943="","",字段母版!$G$22)</f>
        <v/>
      </c>
      <c r="D943" s="24" t="str">
        <f>IF(A943="","",IF(字段母版!$C$22="Risk","孤立 Risk（ClassificationNA 可为合法信息项）","孤立 Control"))</f>
        <v/>
      </c>
    </row>
    <row r="944" spans="1:4" x14ac:dyDescent="0.25">
      <c r="A944" s="24" t="str">
        <f>IF(OR(AND(字段母版!$C$23="Risk",COUNTIF('Risk-Control关系'!$B$5:$B$72,字段母版!$A$23)=0),AND(字段母版!$C$23="Control",COUNTIF('Risk-Control关系'!$D$5:$D$72,字段母版!$A$23)=0)),字段母版!$A$23,"")</f>
        <v/>
      </c>
      <c r="B944" s="24" t="str">
        <f>IF(A944="","",字段母版!$C$23)</f>
        <v/>
      </c>
      <c r="C944" s="24" t="str">
        <f>IF(A944="","",字段母版!$G$23)</f>
        <v/>
      </c>
      <c r="D944" s="24" t="str">
        <f>IF(A944="","",IF(字段母版!$C$23="Risk","孤立 Risk（ClassificationNA 可为合法信息项）","孤立 Control"))</f>
        <v/>
      </c>
    </row>
    <row r="945" spans="1:4" x14ac:dyDescent="0.25">
      <c r="A945" s="24" t="str">
        <f>IF(OR(AND(字段母版!$C$24="Risk",COUNTIF('Risk-Control关系'!$B$5:$B$72,字段母版!$A$24)=0),AND(字段母版!$C$24="Control",COUNTIF('Risk-Control关系'!$D$5:$D$72,字段母版!$A$24)=0)),字段母版!$A$24,"")</f>
        <v/>
      </c>
      <c r="B945" s="24" t="str">
        <f>IF(A945="","",字段母版!$C$24)</f>
        <v/>
      </c>
      <c r="C945" s="24" t="str">
        <f>IF(A945="","",字段母版!$G$24)</f>
        <v/>
      </c>
      <c r="D945" s="24" t="str">
        <f>IF(A945="","",IF(字段母版!$C$24="Risk","孤立 Risk（ClassificationNA 可为合法信息项）","孤立 Control"))</f>
        <v/>
      </c>
    </row>
    <row r="946" spans="1:4" x14ac:dyDescent="0.25">
      <c r="A946" s="24" t="str">
        <f>IF(OR(AND(字段母版!$C$25="Risk",COUNTIF('Risk-Control关系'!$B$5:$B$72,字段母版!$A$25)=0),AND(字段母版!$C$25="Control",COUNTIF('Risk-Control关系'!$D$5:$D$72,字段母版!$A$25)=0)),字段母版!$A$25,"")</f>
        <v/>
      </c>
      <c r="B946" s="24" t="str">
        <f>IF(A946="","",字段母版!$C$25)</f>
        <v/>
      </c>
      <c r="C946" s="24" t="str">
        <f>IF(A946="","",字段母版!$G$25)</f>
        <v/>
      </c>
      <c r="D946" s="24" t="str">
        <f>IF(A946="","",IF(字段母版!$C$25="Risk","孤立 Risk（ClassificationNA 可为合法信息项）","孤立 Control"))</f>
        <v/>
      </c>
    </row>
    <row r="947" spans="1:4" x14ac:dyDescent="0.25">
      <c r="A947" s="24" t="str">
        <f>IF(OR(AND(字段母版!$C$26="Risk",COUNTIF('Risk-Control关系'!$B$5:$B$72,字段母版!$A$26)=0),AND(字段母版!$C$26="Control",COUNTIF('Risk-Control关系'!$D$5:$D$72,字段母版!$A$26)=0)),字段母版!$A$26,"")</f>
        <v/>
      </c>
      <c r="B947" s="24" t="str">
        <f>IF(A947="","",字段母版!$C$26)</f>
        <v/>
      </c>
      <c r="C947" s="24" t="str">
        <f>IF(A947="","",字段母版!$G$26)</f>
        <v/>
      </c>
      <c r="D947" s="24" t="str">
        <f>IF(A947="","",IF(字段母版!$C$26="Risk","孤立 Risk（ClassificationNA 可为合法信息项）","孤立 Control"))</f>
        <v/>
      </c>
    </row>
    <row r="948" spans="1:4" x14ac:dyDescent="0.25">
      <c r="A948" s="24" t="str">
        <f>IF(OR(AND(字段母版!$C$27="Risk",COUNTIF('Risk-Control关系'!$B$5:$B$72,字段母版!$A$27)=0),AND(字段母版!$C$27="Control",COUNTIF('Risk-Control关系'!$D$5:$D$72,字段母版!$A$27)=0)),字段母版!$A$27,"")</f>
        <v/>
      </c>
      <c r="B948" s="24" t="str">
        <f>IF(A948="","",字段母版!$C$27)</f>
        <v/>
      </c>
      <c r="C948" s="24" t="str">
        <f>IF(A948="","",字段母版!$G$27)</f>
        <v/>
      </c>
      <c r="D948" s="24" t="str">
        <f>IF(A948="","",IF(字段母版!$C$27="Risk","孤立 Risk（ClassificationNA 可为合法信息项）","孤立 Control"))</f>
        <v/>
      </c>
    </row>
    <row r="949" spans="1:4" x14ac:dyDescent="0.25">
      <c r="A949" s="24" t="str">
        <f>IF(OR(AND(字段母版!$C$28="Risk",COUNTIF('Risk-Control关系'!$B$5:$B$72,字段母版!$A$28)=0),AND(字段母版!$C$28="Control",COUNTIF('Risk-Control关系'!$D$5:$D$72,字段母版!$A$28)=0)),字段母版!$A$28,"")</f>
        <v/>
      </c>
      <c r="B949" s="24" t="str">
        <f>IF(A949="","",字段母版!$C$28)</f>
        <v/>
      </c>
      <c r="C949" s="24" t="str">
        <f>IF(A949="","",字段母版!$G$28)</f>
        <v/>
      </c>
      <c r="D949" s="24" t="str">
        <f>IF(A949="","",IF(字段母版!$C$28="Risk","孤立 Risk（ClassificationNA 可为合法信息项）","孤立 Control"))</f>
        <v/>
      </c>
    </row>
    <row r="950" spans="1:4" x14ac:dyDescent="0.25">
      <c r="A950" s="24" t="str">
        <f>IF(OR(AND(字段母版!$C$29="Risk",COUNTIF('Risk-Control关系'!$B$5:$B$72,字段母版!$A$29)=0),AND(字段母版!$C$29="Control",COUNTIF('Risk-Control关系'!$D$5:$D$72,字段母版!$A$29)=0)),字段母版!$A$29,"")</f>
        <v/>
      </c>
      <c r="B950" s="24" t="str">
        <f>IF(A950="","",字段母版!$C$29)</f>
        <v/>
      </c>
      <c r="C950" s="24" t="str">
        <f>IF(A950="","",字段母版!$G$29)</f>
        <v/>
      </c>
      <c r="D950" s="24" t="str">
        <f>IF(A950="","",IF(字段母版!$C$29="Risk","孤立 Risk（ClassificationNA 可为合法信息项）","孤立 Control"))</f>
        <v/>
      </c>
    </row>
    <row r="951" spans="1:4" x14ac:dyDescent="0.25">
      <c r="A951" s="24" t="str">
        <f>IF(OR(AND(字段母版!$C$30="Risk",COUNTIF('Risk-Control关系'!$B$5:$B$72,字段母版!$A$30)=0),AND(字段母版!$C$30="Control",COUNTIF('Risk-Control关系'!$D$5:$D$72,字段母版!$A$30)=0)),字段母版!$A$30,"")</f>
        <v/>
      </c>
      <c r="B951" s="24" t="str">
        <f>IF(A951="","",字段母版!$C$30)</f>
        <v/>
      </c>
      <c r="C951" s="24" t="str">
        <f>IF(A951="","",字段母版!$G$30)</f>
        <v/>
      </c>
      <c r="D951" s="24" t="str">
        <f>IF(A951="","",IF(字段母版!$C$30="Risk","孤立 Risk（ClassificationNA 可为合法信息项）","孤立 Control"))</f>
        <v/>
      </c>
    </row>
    <row r="952" spans="1:4" x14ac:dyDescent="0.25">
      <c r="A952" s="24" t="str">
        <f>IF(OR(AND(字段母版!$C$31="Risk",COUNTIF('Risk-Control关系'!$B$5:$B$72,字段母版!$A$31)=0),AND(字段母版!$C$31="Control",COUNTIF('Risk-Control关系'!$D$5:$D$72,字段母版!$A$31)=0)),字段母版!$A$31,"")</f>
        <v/>
      </c>
      <c r="B952" s="24" t="str">
        <f>IF(A952="","",字段母版!$C$31)</f>
        <v/>
      </c>
      <c r="C952" s="24" t="str">
        <f>IF(A952="","",字段母版!$G$31)</f>
        <v/>
      </c>
      <c r="D952" s="24" t="str">
        <f>IF(A952="","",IF(字段母版!$C$31="Risk","孤立 Risk（ClassificationNA 可为合法信息项）","孤立 Control"))</f>
        <v/>
      </c>
    </row>
    <row r="953" spans="1:4" x14ac:dyDescent="0.25">
      <c r="A953" s="24" t="str">
        <f>IF(OR(AND(字段母版!$C$32="Risk",COUNTIF('Risk-Control关系'!$B$5:$B$72,字段母版!$A$32)=0),AND(字段母版!$C$32="Control",COUNTIF('Risk-Control关系'!$D$5:$D$72,字段母版!$A$32)=0)),字段母版!$A$32,"")</f>
        <v/>
      </c>
      <c r="B953" s="24" t="str">
        <f>IF(A953="","",字段母版!$C$32)</f>
        <v/>
      </c>
      <c r="C953" s="24" t="str">
        <f>IF(A953="","",字段母版!$G$32)</f>
        <v/>
      </c>
      <c r="D953" s="24" t="str">
        <f>IF(A953="","",IF(字段母版!$C$32="Risk","孤立 Risk（ClassificationNA 可为合法信息项）","孤立 Control"))</f>
        <v/>
      </c>
    </row>
    <row r="954" spans="1:4" x14ac:dyDescent="0.25">
      <c r="A954" s="24" t="str">
        <f>IF(OR(AND(字段母版!$C$33="Risk",COUNTIF('Risk-Control关系'!$B$5:$B$72,字段母版!$A$33)=0),AND(字段母版!$C$33="Control",COUNTIF('Risk-Control关系'!$D$5:$D$72,字段母版!$A$33)=0)),字段母版!$A$33,"")</f>
        <v/>
      </c>
      <c r="B954" s="24" t="str">
        <f>IF(A954="","",字段母版!$C$33)</f>
        <v/>
      </c>
      <c r="C954" s="24" t="str">
        <f>IF(A954="","",字段母版!$G$33)</f>
        <v/>
      </c>
      <c r="D954" s="24" t="str">
        <f>IF(A954="","",IF(字段母版!$C$33="Risk","孤立 Risk（ClassificationNA 可为合法信息项）","孤立 Control"))</f>
        <v/>
      </c>
    </row>
    <row r="955" spans="1:4" x14ac:dyDescent="0.25">
      <c r="A955" s="24" t="str">
        <f>IF(OR(AND(字段母版!$C$34="Risk",COUNTIF('Risk-Control关系'!$B$5:$B$72,字段母版!$A$34)=0),AND(字段母版!$C$34="Control",COUNTIF('Risk-Control关系'!$D$5:$D$72,字段母版!$A$34)=0)),字段母版!$A$34,"")</f>
        <v/>
      </c>
      <c r="B955" s="24" t="str">
        <f>IF(A955="","",字段母版!$C$34)</f>
        <v/>
      </c>
      <c r="C955" s="24" t="str">
        <f>IF(A955="","",字段母版!$G$34)</f>
        <v/>
      </c>
      <c r="D955" s="24" t="str">
        <f>IF(A955="","",IF(字段母版!$C$34="Risk","孤立 Risk（ClassificationNA 可为合法信息项）","孤立 Control"))</f>
        <v/>
      </c>
    </row>
    <row r="956" spans="1:4" x14ac:dyDescent="0.25">
      <c r="A956" s="24" t="str">
        <f>IF(OR(AND(字段母版!$C$35="Risk",COUNTIF('Risk-Control关系'!$B$5:$B$72,字段母版!$A$35)=0),AND(字段母版!$C$35="Control",COUNTIF('Risk-Control关系'!$D$5:$D$72,字段母版!$A$35)=0)),字段母版!$A$35,"")</f>
        <v/>
      </c>
      <c r="B956" s="24" t="str">
        <f>IF(A956="","",字段母版!$C$35)</f>
        <v/>
      </c>
      <c r="C956" s="24" t="str">
        <f>IF(A956="","",字段母版!$G$35)</f>
        <v/>
      </c>
      <c r="D956" s="24" t="str">
        <f>IF(A956="","",IF(字段母版!$C$35="Risk","孤立 Risk（ClassificationNA 可为合法信息项）","孤立 Control"))</f>
        <v/>
      </c>
    </row>
    <row r="957" spans="1:4" x14ac:dyDescent="0.25">
      <c r="A957" s="24" t="str">
        <f>IF(OR(AND(字段母版!$C$36="Risk",COUNTIF('Risk-Control关系'!$B$5:$B$72,字段母版!$A$36)=0),AND(字段母版!$C$36="Control",COUNTIF('Risk-Control关系'!$D$5:$D$72,字段母版!$A$36)=0)),字段母版!$A$36,"")</f>
        <v/>
      </c>
      <c r="B957" s="24" t="str">
        <f>IF(A957="","",字段母版!$C$36)</f>
        <v/>
      </c>
      <c r="C957" s="24" t="str">
        <f>IF(A957="","",字段母版!$G$36)</f>
        <v/>
      </c>
      <c r="D957" s="24" t="str">
        <f>IF(A957="","",IF(字段母版!$C$36="Risk","孤立 Risk（ClassificationNA 可为合法信息项）","孤立 Control"))</f>
        <v/>
      </c>
    </row>
    <row r="958" spans="1:4" x14ac:dyDescent="0.25">
      <c r="A958" s="24" t="str">
        <f>IF(OR(AND(字段母版!$C$37="Risk",COUNTIF('Risk-Control关系'!$B$5:$B$72,字段母版!$A$37)=0),AND(字段母版!$C$37="Control",COUNTIF('Risk-Control关系'!$D$5:$D$72,字段母版!$A$37)=0)),字段母版!$A$37,"")</f>
        <v/>
      </c>
      <c r="B958" s="24" t="str">
        <f>IF(A958="","",字段母版!$C$37)</f>
        <v/>
      </c>
      <c r="C958" s="24" t="str">
        <f>IF(A958="","",字段母版!$G$37)</f>
        <v/>
      </c>
      <c r="D958" s="24" t="str">
        <f>IF(A958="","",IF(字段母版!$C$37="Risk","孤立 Risk（ClassificationNA 可为合法信息项）","孤立 Control"))</f>
        <v/>
      </c>
    </row>
    <row r="959" spans="1:4" x14ac:dyDescent="0.25">
      <c r="A959" s="24" t="str">
        <f>IF(OR(AND(字段母版!$C$38="Risk",COUNTIF('Risk-Control关系'!$B$5:$B$72,字段母版!$A$38)=0),AND(字段母版!$C$38="Control",COUNTIF('Risk-Control关系'!$D$5:$D$72,字段母版!$A$38)=0)),字段母版!$A$38,"")</f>
        <v/>
      </c>
      <c r="B959" s="24" t="str">
        <f>IF(A959="","",字段母版!$C$38)</f>
        <v/>
      </c>
      <c r="C959" s="24" t="str">
        <f>IF(A959="","",字段母版!$G$38)</f>
        <v/>
      </c>
      <c r="D959" s="24" t="str">
        <f>IF(A959="","",IF(字段母版!$C$38="Risk","孤立 Risk（ClassificationNA 可为合法信息项）","孤立 Control"))</f>
        <v/>
      </c>
    </row>
    <row r="960" spans="1:4" x14ac:dyDescent="0.25">
      <c r="A960" s="24" t="str">
        <f>IF(OR(AND(字段母版!$C$39="Risk",COUNTIF('Risk-Control关系'!$B$5:$B$72,字段母版!$A$39)=0),AND(字段母版!$C$39="Control",COUNTIF('Risk-Control关系'!$D$5:$D$72,字段母版!$A$39)=0)),字段母版!$A$39,"")</f>
        <v/>
      </c>
      <c r="B960" s="24" t="str">
        <f>IF(A960="","",字段母版!$C$39)</f>
        <v/>
      </c>
      <c r="C960" s="24" t="str">
        <f>IF(A960="","",字段母版!$G$39)</f>
        <v/>
      </c>
      <c r="D960" s="24" t="str">
        <f>IF(A960="","",IF(字段母版!$C$39="Risk","孤立 Risk（ClassificationNA 可为合法信息项）","孤立 Control"))</f>
        <v/>
      </c>
    </row>
    <row r="961" spans="1:4" x14ac:dyDescent="0.25">
      <c r="A961" s="24" t="str">
        <f>IF(OR(AND(字段母版!$C$40="Risk",COUNTIF('Risk-Control关系'!$B$5:$B$72,字段母版!$A$40)=0),AND(字段母版!$C$40="Control",COUNTIF('Risk-Control关系'!$D$5:$D$72,字段母版!$A$40)=0)),字段母版!$A$40,"")</f>
        <v/>
      </c>
      <c r="B961" s="24" t="str">
        <f>IF(A961="","",字段母版!$C$40)</f>
        <v/>
      </c>
      <c r="C961" s="24" t="str">
        <f>IF(A961="","",字段母版!$G$40)</f>
        <v/>
      </c>
      <c r="D961" s="24" t="str">
        <f>IF(A961="","",IF(字段母版!$C$40="Risk","孤立 Risk（ClassificationNA 可为合法信息项）","孤立 Control"))</f>
        <v/>
      </c>
    </row>
    <row r="962" spans="1:4" x14ac:dyDescent="0.25">
      <c r="A962" s="24" t="str">
        <f>IF(OR(AND(字段母版!$C$41="Risk",COUNTIF('Risk-Control关系'!$B$5:$B$72,字段母版!$A$41)=0),AND(字段母版!$C$41="Control",COUNTIF('Risk-Control关系'!$D$5:$D$72,字段母版!$A$41)=0)),字段母版!$A$41,"")</f>
        <v/>
      </c>
      <c r="B962" s="24" t="str">
        <f>IF(A962="","",字段母版!$C$41)</f>
        <v/>
      </c>
      <c r="C962" s="24" t="str">
        <f>IF(A962="","",字段母版!$G$41)</f>
        <v/>
      </c>
      <c r="D962" s="24" t="str">
        <f>IF(A962="","",IF(字段母版!$C$41="Risk","孤立 Risk（ClassificationNA 可为合法信息项）","孤立 Control"))</f>
        <v/>
      </c>
    </row>
    <row r="963" spans="1:4" x14ac:dyDescent="0.25">
      <c r="A963" s="24" t="str">
        <f>IF(OR(AND(字段母版!$C$42="Risk",COUNTIF('Risk-Control关系'!$B$5:$B$72,字段母版!$A$42)=0),AND(字段母版!$C$42="Control",COUNTIF('Risk-Control关系'!$D$5:$D$72,字段母版!$A$42)=0)),字段母版!$A$42,"")</f>
        <v/>
      </c>
      <c r="B963" s="24" t="str">
        <f>IF(A963="","",字段母版!$C$42)</f>
        <v/>
      </c>
      <c r="C963" s="24" t="str">
        <f>IF(A963="","",字段母版!$G$42)</f>
        <v/>
      </c>
      <c r="D963" s="24" t="str">
        <f>IF(A963="","",IF(字段母版!$C$42="Risk","孤立 Risk（ClassificationNA 可为合法信息项）","孤立 Control"))</f>
        <v/>
      </c>
    </row>
    <row r="964" spans="1:4" x14ac:dyDescent="0.25">
      <c r="A964" s="24" t="str">
        <f>IF(OR(AND(字段母版!$C$43="Risk",COUNTIF('Risk-Control关系'!$B$5:$B$72,字段母版!$A$43)=0),AND(字段母版!$C$43="Control",COUNTIF('Risk-Control关系'!$D$5:$D$72,字段母版!$A$43)=0)),字段母版!$A$43,"")</f>
        <v/>
      </c>
      <c r="B964" s="24" t="str">
        <f>IF(A964="","",字段母版!$C$43)</f>
        <v/>
      </c>
      <c r="C964" s="24" t="str">
        <f>IF(A964="","",字段母版!$G$43)</f>
        <v/>
      </c>
      <c r="D964" s="24" t="str">
        <f>IF(A964="","",IF(字段母版!$C$43="Risk","孤立 Risk（ClassificationNA 可为合法信息项）","孤立 Control"))</f>
        <v/>
      </c>
    </row>
    <row r="965" spans="1:4" x14ac:dyDescent="0.25">
      <c r="A965" s="24" t="str">
        <f>IF(OR(AND(字段母版!$C$44="Risk",COUNTIF('Risk-Control关系'!$B$5:$B$72,字段母版!$A$44)=0),AND(字段母版!$C$44="Control",COUNTIF('Risk-Control关系'!$D$5:$D$72,字段母版!$A$44)=0)),字段母版!$A$44,"")</f>
        <v/>
      </c>
      <c r="B965" s="24" t="str">
        <f>IF(A965="","",字段母版!$C$44)</f>
        <v/>
      </c>
      <c r="C965" s="24" t="str">
        <f>IF(A965="","",字段母版!$G$44)</f>
        <v/>
      </c>
      <c r="D965" s="24" t="str">
        <f>IF(A965="","",IF(字段母版!$C$44="Risk","孤立 Risk（ClassificationNA 可为合法信息项）","孤立 Control"))</f>
        <v/>
      </c>
    </row>
    <row r="966" spans="1:4" x14ac:dyDescent="0.25">
      <c r="A966" s="24" t="str">
        <f>IF(OR(AND(字段母版!$C$45="Risk",COUNTIF('Risk-Control关系'!$B$5:$B$72,字段母版!$A$45)=0),AND(字段母版!$C$45="Control",COUNTIF('Risk-Control关系'!$D$5:$D$72,字段母版!$A$45)=0)),字段母版!$A$45,"")</f>
        <v/>
      </c>
      <c r="B966" s="24" t="str">
        <f>IF(A966="","",字段母版!$C$45)</f>
        <v/>
      </c>
      <c r="C966" s="24" t="str">
        <f>IF(A966="","",字段母版!$G$45)</f>
        <v/>
      </c>
      <c r="D966" s="24" t="str">
        <f>IF(A966="","",IF(字段母版!$C$45="Risk","孤立 Risk（ClassificationNA 可为合法信息项）","孤立 Control"))</f>
        <v/>
      </c>
    </row>
    <row r="967" spans="1:4" x14ac:dyDescent="0.25">
      <c r="A967" s="24" t="str">
        <f>IF(OR(AND(字段母版!$C$46="Risk",COUNTIF('Risk-Control关系'!$B$5:$B$72,字段母版!$A$46)=0),AND(字段母版!$C$46="Control",COUNTIF('Risk-Control关系'!$D$5:$D$72,字段母版!$A$46)=0)),字段母版!$A$46,"")</f>
        <v/>
      </c>
      <c r="B967" s="24" t="str">
        <f>IF(A967="","",字段母版!$C$46)</f>
        <v/>
      </c>
      <c r="C967" s="24" t="str">
        <f>IF(A967="","",字段母版!$G$46)</f>
        <v/>
      </c>
      <c r="D967" s="24" t="str">
        <f>IF(A967="","",IF(字段母版!$C$46="Risk","孤立 Risk（ClassificationNA 可为合法信息项）","孤立 Control"))</f>
        <v/>
      </c>
    </row>
    <row r="968" spans="1:4" x14ac:dyDescent="0.25">
      <c r="A968" s="24" t="str">
        <f>IF(OR(AND(字段母版!$C$47="Risk",COUNTIF('Risk-Control关系'!$B$5:$B$72,字段母版!$A$47)=0),AND(字段母版!$C$47="Control",COUNTIF('Risk-Control关系'!$D$5:$D$72,字段母版!$A$47)=0)),字段母版!$A$47,"")</f>
        <v/>
      </c>
      <c r="B968" s="24" t="str">
        <f>IF(A968="","",字段母版!$C$47)</f>
        <v/>
      </c>
      <c r="C968" s="24" t="str">
        <f>IF(A968="","",字段母版!$G$47)</f>
        <v/>
      </c>
      <c r="D968" s="24" t="str">
        <f>IF(A968="","",IF(字段母版!$C$47="Risk","孤立 Risk（ClassificationNA 可为合法信息项）","孤立 Control"))</f>
        <v/>
      </c>
    </row>
    <row r="969" spans="1:4" x14ac:dyDescent="0.25">
      <c r="A969" s="24" t="str">
        <f>IF(OR(AND(字段母版!$C$48="Risk",COUNTIF('Risk-Control关系'!$B$5:$B$72,字段母版!$A$48)=0),AND(字段母版!$C$48="Control",COUNTIF('Risk-Control关系'!$D$5:$D$72,字段母版!$A$48)=0)),字段母版!$A$48,"")</f>
        <v/>
      </c>
      <c r="B969" s="24" t="str">
        <f>IF(A969="","",字段母版!$C$48)</f>
        <v/>
      </c>
      <c r="C969" s="24" t="str">
        <f>IF(A969="","",字段母版!$G$48)</f>
        <v/>
      </c>
      <c r="D969" s="24" t="str">
        <f>IF(A969="","",IF(字段母版!$C$48="Risk","孤立 Risk（ClassificationNA 可为合法信息项）","孤立 Control"))</f>
        <v/>
      </c>
    </row>
    <row r="970" spans="1:4" x14ac:dyDescent="0.25">
      <c r="A970" s="24" t="str">
        <f>IF(OR(AND(字段母版!$C$49="Risk",COUNTIF('Risk-Control关系'!$B$5:$B$72,字段母版!$A$49)=0),AND(字段母版!$C$49="Control",COUNTIF('Risk-Control关系'!$D$5:$D$72,字段母版!$A$49)=0)),字段母版!$A$49,"")</f>
        <v/>
      </c>
      <c r="B970" s="24" t="str">
        <f>IF(A970="","",字段母版!$C$49)</f>
        <v/>
      </c>
      <c r="C970" s="24" t="str">
        <f>IF(A970="","",字段母版!$G$49)</f>
        <v/>
      </c>
      <c r="D970" s="24" t="str">
        <f>IF(A970="","",IF(字段母版!$C$49="Risk","孤立 Risk（ClassificationNA 可为合法信息项）","孤立 Control"))</f>
        <v/>
      </c>
    </row>
    <row r="971" spans="1:4" x14ac:dyDescent="0.25">
      <c r="A971" s="24" t="str">
        <f>IF(OR(AND(字段母版!$C$50="Risk",COUNTIF('Risk-Control关系'!$B$5:$B$72,字段母版!$A$50)=0),AND(字段母版!$C$50="Control",COUNTIF('Risk-Control关系'!$D$5:$D$72,字段母版!$A$50)=0)),字段母版!$A$50,"")</f>
        <v/>
      </c>
      <c r="B971" s="24" t="str">
        <f>IF(A971="","",字段母版!$C$50)</f>
        <v/>
      </c>
      <c r="C971" s="24" t="str">
        <f>IF(A971="","",字段母版!$G$50)</f>
        <v/>
      </c>
      <c r="D971" s="24" t="str">
        <f>IF(A971="","",IF(字段母版!$C$50="Risk","孤立 Risk（ClassificationNA 可为合法信息项）","孤立 Control"))</f>
        <v/>
      </c>
    </row>
    <row r="972" spans="1:4" x14ac:dyDescent="0.25">
      <c r="A972" s="24" t="str">
        <f>IF(OR(AND(字段母版!$C$51="Risk",COUNTIF('Risk-Control关系'!$B$5:$B$72,字段母版!$A$51)=0),AND(字段母版!$C$51="Control",COUNTIF('Risk-Control关系'!$D$5:$D$72,字段母版!$A$51)=0)),字段母版!$A$51,"")</f>
        <v/>
      </c>
      <c r="B972" s="24" t="str">
        <f>IF(A972="","",字段母版!$C$51)</f>
        <v/>
      </c>
      <c r="C972" s="24" t="str">
        <f>IF(A972="","",字段母版!$G$51)</f>
        <v/>
      </c>
      <c r="D972" s="24" t="str">
        <f>IF(A972="","",IF(字段母版!$C$51="Risk","孤立 Risk（ClassificationNA 可为合法信息项）","孤立 Control"))</f>
        <v/>
      </c>
    </row>
    <row r="973" spans="1:4" x14ac:dyDescent="0.25">
      <c r="A973" s="24" t="str">
        <f>IF(OR(AND(字段母版!$C$52="Risk",COUNTIF('Risk-Control关系'!$B$5:$B$72,字段母版!$A$52)=0),AND(字段母版!$C$52="Control",COUNTIF('Risk-Control关系'!$D$5:$D$72,字段母版!$A$52)=0)),字段母版!$A$52,"")</f>
        <v/>
      </c>
      <c r="B973" s="24" t="str">
        <f>IF(A973="","",字段母版!$C$52)</f>
        <v/>
      </c>
      <c r="C973" s="24" t="str">
        <f>IF(A973="","",字段母版!$G$52)</f>
        <v/>
      </c>
      <c r="D973" s="24" t="str">
        <f>IF(A973="","",IF(字段母版!$C$52="Risk","孤立 Risk（ClassificationNA 可为合法信息项）","孤立 Control"))</f>
        <v/>
      </c>
    </row>
    <row r="974" spans="1:4" x14ac:dyDescent="0.25">
      <c r="A974" s="24" t="str">
        <f>IF(OR(AND(字段母版!$C$53="Risk",COUNTIF('Risk-Control关系'!$B$5:$B$72,字段母版!$A$53)=0),AND(字段母版!$C$53="Control",COUNTIF('Risk-Control关系'!$D$5:$D$72,字段母版!$A$53)=0)),字段母版!$A$53,"")</f>
        <v/>
      </c>
      <c r="B974" s="24" t="str">
        <f>IF(A974="","",字段母版!$C$53)</f>
        <v/>
      </c>
      <c r="C974" s="24" t="str">
        <f>IF(A974="","",字段母版!$G$53)</f>
        <v/>
      </c>
      <c r="D974" s="24" t="str">
        <f>IF(A974="","",IF(字段母版!$C$53="Risk","孤立 Risk（ClassificationNA 可为合法信息项）","孤立 Control"))</f>
        <v/>
      </c>
    </row>
    <row r="975" spans="1:4" x14ac:dyDescent="0.25">
      <c r="A975" s="24" t="str">
        <f>IF(OR(AND(字段母版!$C$54="Risk",COUNTIF('Risk-Control关系'!$B$5:$B$72,字段母版!$A$54)=0),AND(字段母版!$C$54="Control",COUNTIF('Risk-Control关系'!$D$5:$D$72,字段母版!$A$54)=0)),字段母版!$A$54,"")</f>
        <v/>
      </c>
      <c r="B975" s="24" t="str">
        <f>IF(A975="","",字段母版!$C$54)</f>
        <v/>
      </c>
      <c r="C975" s="24" t="str">
        <f>IF(A975="","",字段母版!$G$54)</f>
        <v/>
      </c>
      <c r="D975" s="24" t="str">
        <f>IF(A975="","",IF(字段母版!$C$54="Risk","孤立 Risk（ClassificationNA 可为合法信息项）","孤立 Control"))</f>
        <v/>
      </c>
    </row>
    <row r="976" spans="1:4" x14ac:dyDescent="0.25">
      <c r="A976" s="24" t="str">
        <f>IF(OR(AND(字段母版!$C$55="Risk",COUNTIF('Risk-Control关系'!$B$5:$B$72,字段母版!$A$55)=0),AND(字段母版!$C$55="Control",COUNTIF('Risk-Control关系'!$D$5:$D$72,字段母版!$A$55)=0)),字段母版!$A$55,"")</f>
        <v/>
      </c>
      <c r="B976" s="24" t="str">
        <f>IF(A976="","",字段母版!$C$55)</f>
        <v/>
      </c>
      <c r="C976" s="24" t="str">
        <f>IF(A976="","",字段母版!$G$55)</f>
        <v/>
      </c>
      <c r="D976" s="24" t="str">
        <f>IF(A976="","",IF(字段母版!$C$55="Risk","孤立 Risk（ClassificationNA 可为合法信息项）","孤立 Control"))</f>
        <v/>
      </c>
    </row>
    <row r="977" spans="1:4" x14ac:dyDescent="0.25">
      <c r="A977" s="24" t="str">
        <f>IF(OR(AND(字段母版!$C$56="Risk",COUNTIF('Risk-Control关系'!$B$5:$B$72,字段母版!$A$56)=0),AND(字段母版!$C$56="Control",COUNTIF('Risk-Control关系'!$D$5:$D$72,字段母版!$A$56)=0)),字段母版!$A$56,"")</f>
        <v/>
      </c>
      <c r="B977" s="24" t="str">
        <f>IF(A977="","",字段母版!$C$56)</f>
        <v/>
      </c>
      <c r="C977" s="24" t="str">
        <f>IF(A977="","",字段母版!$G$56)</f>
        <v/>
      </c>
      <c r="D977" s="24" t="str">
        <f>IF(A977="","",IF(字段母版!$C$56="Risk","孤立 Risk（ClassificationNA 可为合法信息项）","孤立 Control"))</f>
        <v/>
      </c>
    </row>
    <row r="978" spans="1:4" x14ac:dyDescent="0.25">
      <c r="A978" s="24" t="str">
        <f>IF(OR(AND(字段母版!$C$57="Risk",COUNTIF('Risk-Control关系'!$B$5:$B$72,字段母版!$A$57)=0),AND(字段母版!$C$57="Control",COUNTIF('Risk-Control关系'!$D$5:$D$72,字段母版!$A$57)=0)),字段母版!$A$57,"")</f>
        <v/>
      </c>
      <c r="B978" s="24" t="str">
        <f>IF(A978="","",字段母版!$C$57)</f>
        <v/>
      </c>
      <c r="C978" s="24" t="str">
        <f>IF(A978="","",字段母版!$G$57)</f>
        <v/>
      </c>
      <c r="D978" s="24" t="str">
        <f>IF(A978="","",IF(字段母版!$C$57="Risk","孤立 Risk（ClassificationNA 可为合法信息项）","孤立 Control"))</f>
        <v/>
      </c>
    </row>
    <row r="979" spans="1:4" x14ac:dyDescent="0.25">
      <c r="A979" s="24" t="str">
        <f>IF(OR(AND(字段母版!$C$58="Risk",COUNTIF('Risk-Control关系'!$B$5:$B$72,字段母版!$A$58)=0),AND(字段母版!$C$58="Control",COUNTIF('Risk-Control关系'!$D$5:$D$72,字段母版!$A$58)=0)),字段母版!$A$58,"")</f>
        <v/>
      </c>
      <c r="B979" s="24" t="str">
        <f>IF(A979="","",字段母版!$C$58)</f>
        <v/>
      </c>
      <c r="C979" s="24" t="str">
        <f>IF(A979="","",字段母版!$G$58)</f>
        <v/>
      </c>
      <c r="D979" s="24" t="str">
        <f>IF(A979="","",IF(字段母版!$C$58="Risk","孤立 Risk（ClassificationNA 可为合法信息项）","孤立 Control"))</f>
        <v/>
      </c>
    </row>
    <row r="980" spans="1:4" x14ac:dyDescent="0.25">
      <c r="A980" s="24" t="str">
        <f>IF(OR(AND(字段母版!$C$59="Risk",COUNTIF('Risk-Control关系'!$B$5:$B$72,字段母版!$A$59)=0),AND(字段母版!$C$59="Control",COUNTIF('Risk-Control关系'!$D$5:$D$72,字段母版!$A$59)=0)),字段母版!$A$59,"")</f>
        <v/>
      </c>
      <c r="B980" s="24" t="str">
        <f>IF(A980="","",字段母版!$C$59)</f>
        <v/>
      </c>
      <c r="C980" s="24" t="str">
        <f>IF(A980="","",字段母版!$G$59)</f>
        <v/>
      </c>
      <c r="D980" s="24" t="str">
        <f>IF(A980="","",IF(字段母版!$C$59="Risk","孤立 Risk（ClassificationNA 可为合法信息项）","孤立 Control"))</f>
        <v/>
      </c>
    </row>
    <row r="981" spans="1:4" x14ac:dyDescent="0.25">
      <c r="A981" s="24" t="str">
        <f>IF(OR(AND(字段母版!$C$60="Risk",COUNTIF('Risk-Control关系'!$B$5:$B$72,字段母版!$A$60)=0),AND(字段母版!$C$60="Control",COUNTIF('Risk-Control关系'!$D$5:$D$72,字段母版!$A$60)=0)),字段母版!$A$60,"")</f>
        <v/>
      </c>
      <c r="B981" s="24" t="str">
        <f>IF(A981="","",字段母版!$C$60)</f>
        <v/>
      </c>
      <c r="C981" s="24" t="str">
        <f>IF(A981="","",字段母版!$G$60)</f>
        <v/>
      </c>
      <c r="D981" s="24" t="str">
        <f>IF(A981="","",IF(字段母版!$C$60="Risk","孤立 Risk（ClassificationNA 可为合法信息项）","孤立 Control"))</f>
        <v/>
      </c>
    </row>
    <row r="982" spans="1:4" x14ac:dyDescent="0.25">
      <c r="A982" s="24" t="str">
        <f>IF(OR(AND(字段母版!$C$61="Risk",COUNTIF('Risk-Control关系'!$B$5:$B$72,字段母版!$A$61)=0),AND(字段母版!$C$61="Control",COUNTIF('Risk-Control关系'!$D$5:$D$72,字段母版!$A$61)=0)),字段母版!$A$61,"")</f>
        <v/>
      </c>
      <c r="B982" s="24" t="str">
        <f>IF(A982="","",字段母版!$C$61)</f>
        <v/>
      </c>
      <c r="C982" s="24" t="str">
        <f>IF(A982="","",字段母版!$G$61)</f>
        <v/>
      </c>
      <c r="D982" s="24" t="str">
        <f>IF(A982="","",IF(字段母版!$C$61="Risk","孤立 Risk（ClassificationNA 可为合法信息项）","孤立 Control"))</f>
        <v/>
      </c>
    </row>
    <row r="983" spans="1:4" x14ac:dyDescent="0.25">
      <c r="A983" s="24" t="str">
        <f>IF(OR(AND(字段母版!$C$62="Risk",COUNTIF('Risk-Control关系'!$B$5:$B$72,字段母版!$A$62)=0),AND(字段母版!$C$62="Control",COUNTIF('Risk-Control关系'!$D$5:$D$72,字段母版!$A$62)=0)),字段母版!$A$62,"")</f>
        <v/>
      </c>
      <c r="B983" s="24" t="str">
        <f>IF(A983="","",字段母版!$C$62)</f>
        <v/>
      </c>
      <c r="C983" s="24" t="str">
        <f>IF(A983="","",字段母版!$G$62)</f>
        <v/>
      </c>
      <c r="D983" s="24" t="str">
        <f>IF(A983="","",IF(字段母版!$C$62="Risk","孤立 Risk（ClassificationNA 可为合法信息项）","孤立 Control"))</f>
        <v/>
      </c>
    </row>
    <row r="984" spans="1:4" x14ac:dyDescent="0.25">
      <c r="A984" s="24" t="str">
        <f>IF(OR(AND(字段母版!$C$63="Risk",COUNTIF('Risk-Control关系'!$B$5:$B$72,字段母版!$A$63)=0),AND(字段母版!$C$63="Control",COUNTIF('Risk-Control关系'!$D$5:$D$72,字段母版!$A$63)=0)),字段母版!$A$63,"")</f>
        <v/>
      </c>
      <c r="B984" s="24" t="str">
        <f>IF(A984="","",字段母版!$C$63)</f>
        <v/>
      </c>
      <c r="C984" s="24" t="str">
        <f>IF(A984="","",字段母版!$G$63)</f>
        <v/>
      </c>
      <c r="D984" s="24" t="str">
        <f>IF(A984="","",IF(字段母版!$C$63="Risk","孤立 Risk（ClassificationNA 可为合法信息项）","孤立 Control"))</f>
        <v/>
      </c>
    </row>
    <row r="985" spans="1:4" x14ac:dyDescent="0.25">
      <c r="A985" s="24" t="str">
        <f>IF(OR(AND(字段母版!$C$64="Risk",COUNTIF('Risk-Control关系'!$B$5:$B$72,字段母版!$A$64)=0),AND(字段母版!$C$64="Control",COUNTIF('Risk-Control关系'!$D$5:$D$72,字段母版!$A$64)=0)),字段母版!$A$64,"")</f>
        <v/>
      </c>
      <c r="B985" s="24" t="str">
        <f>IF(A985="","",字段母版!$C$64)</f>
        <v/>
      </c>
      <c r="C985" s="24" t="str">
        <f>IF(A985="","",字段母版!$G$64)</f>
        <v/>
      </c>
      <c r="D985" s="24" t="str">
        <f>IF(A985="","",IF(字段母版!$C$64="Risk","孤立 Risk（ClassificationNA 可为合法信息项）","孤立 Control"))</f>
        <v/>
      </c>
    </row>
    <row r="986" spans="1:4" x14ac:dyDescent="0.25">
      <c r="A986" s="24" t="str">
        <f>IF(OR(AND(字段母版!$C$65="Risk",COUNTIF('Risk-Control关系'!$B$5:$B$72,字段母版!$A$65)=0),AND(字段母版!$C$65="Control",COUNTIF('Risk-Control关系'!$D$5:$D$72,字段母版!$A$65)=0)),字段母版!$A$65,"")</f>
        <v/>
      </c>
      <c r="B986" s="24" t="str">
        <f>IF(A986="","",字段母版!$C$65)</f>
        <v/>
      </c>
      <c r="C986" s="24" t="str">
        <f>IF(A986="","",字段母版!$G$65)</f>
        <v/>
      </c>
      <c r="D986" s="24" t="str">
        <f>IF(A986="","",IF(字段母版!$C$65="Risk","孤立 Risk（ClassificationNA 可为合法信息项）","孤立 Control"))</f>
        <v/>
      </c>
    </row>
    <row r="987" spans="1:4" x14ac:dyDescent="0.25">
      <c r="A987" s="24" t="str">
        <f>IF(OR(AND(字段母版!$C$66="Risk",COUNTIF('Risk-Control关系'!$B$5:$B$72,字段母版!$A$66)=0),AND(字段母版!$C$66="Control",COUNTIF('Risk-Control关系'!$D$5:$D$72,字段母版!$A$66)=0)),字段母版!$A$66,"")</f>
        <v/>
      </c>
      <c r="B987" s="24" t="str">
        <f>IF(A987="","",字段母版!$C$66)</f>
        <v/>
      </c>
      <c r="C987" s="24" t="str">
        <f>IF(A987="","",字段母版!$G$66)</f>
        <v/>
      </c>
      <c r="D987" s="24" t="str">
        <f>IF(A987="","",IF(字段母版!$C$66="Risk","孤立 Risk（ClassificationNA 可为合法信息项）","孤立 Control"))</f>
        <v/>
      </c>
    </row>
    <row r="988" spans="1:4" x14ac:dyDescent="0.25">
      <c r="A988" s="24" t="str">
        <f>IF(OR(AND(字段母版!$C$67="Risk",COUNTIF('Risk-Control关系'!$B$5:$B$72,字段母版!$A$67)=0),AND(字段母版!$C$67="Control",COUNTIF('Risk-Control关系'!$D$5:$D$72,字段母版!$A$67)=0)),字段母版!$A$67,"")</f>
        <v/>
      </c>
      <c r="B988" s="24" t="str">
        <f>IF(A988="","",字段母版!$C$67)</f>
        <v/>
      </c>
      <c r="C988" s="24" t="str">
        <f>IF(A988="","",字段母版!$G$67)</f>
        <v/>
      </c>
      <c r="D988" s="24" t="str">
        <f>IF(A988="","",IF(字段母版!$C$67="Risk","孤立 Risk（ClassificationNA 可为合法信息项）","孤立 Control"))</f>
        <v/>
      </c>
    </row>
    <row r="989" spans="1:4" x14ac:dyDescent="0.25">
      <c r="A989" s="24" t="str">
        <f>IF(OR(AND(字段母版!$C$68="Risk",COUNTIF('Risk-Control关系'!$B$5:$B$72,字段母版!$A$68)=0),AND(字段母版!$C$68="Control",COUNTIF('Risk-Control关系'!$D$5:$D$72,字段母版!$A$68)=0)),字段母版!$A$68,"")</f>
        <v/>
      </c>
      <c r="B989" s="24" t="str">
        <f>IF(A989="","",字段母版!$C$68)</f>
        <v/>
      </c>
      <c r="C989" s="24" t="str">
        <f>IF(A989="","",字段母版!$G$68)</f>
        <v/>
      </c>
      <c r="D989" s="24" t="str">
        <f>IF(A989="","",IF(字段母版!$C$68="Risk","孤立 Risk（ClassificationNA 可为合法信息项）","孤立 Control"))</f>
        <v/>
      </c>
    </row>
    <row r="990" spans="1:4" x14ac:dyDescent="0.25">
      <c r="A990" s="24" t="str">
        <f>IF(OR(AND(字段母版!$C$69="Risk",COUNTIF('Risk-Control关系'!$B$5:$B$72,字段母版!$A$69)=0),AND(字段母版!$C$69="Control",COUNTIF('Risk-Control关系'!$D$5:$D$72,字段母版!$A$69)=0)),字段母版!$A$69,"")</f>
        <v/>
      </c>
      <c r="B990" s="24" t="str">
        <f>IF(A990="","",字段母版!$C$69)</f>
        <v/>
      </c>
      <c r="C990" s="24" t="str">
        <f>IF(A990="","",字段母版!$G$69)</f>
        <v/>
      </c>
      <c r="D990" s="24" t="str">
        <f>IF(A990="","",IF(字段母版!$C$69="Risk","孤立 Risk（ClassificationNA 可为合法信息项）","孤立 Control"))</f>
        <v/>
      </c>
    </row>
    <row r="991" spans="1:4" x14ac:dyDescent="0.25">
      <c r="A991" s="24" t="str">
        <f>IF(OR(AND(字段母版!$C$70="Risk",COUNTIF('Risk-Control关系'!$B$5:$B$72,字段母版!$A$70)=0),AND(字段母版!$C$70="Control",COUNTIF('Risk-Control关系'!$D$5:$D$72,字段母版!$A$70)=0)),字段母版!$A$70,"")</f>
        <v/>
      </c>
      <c r="B991" s="24" t="str">
        <f>IF(A991="","",字段母版!$C$70)</f>
        <v/>
      </c>
      <c r="C991" s="24" t="str">
        <f>IF(A991="","",字段母版!$G$70)</f>
        <v/>
      </c>
      <c r="D991" s="24" t="str">
        <f>IF(A991="","",IF(字段母版!$C$70="Risk","孤立 Risk（ClassificationNA 可为合法信息项）","孤立 Control"))</f>
        <v/>
      </c>
    </row>
    <row r="992" spans="1:4" x14ac:dyDescent="0.25">
      <c r="A992" s="24" t="str">
        <f>IF(OR(AND(字段母版!$C$71="Risk",COUNTIF('Risk-Control关系'!$B$5:$B$72,字段母版!$A$71)=0),AND(字段母版!$C$71="Control",COUNTIF('Risk-Control关系'!$D$5:$D$72,字段母版!$A$71)=0)),字段母版!$A$71,"")</f>
        <v/>
      </c>
      <c r="B992" s="24" t="str">
        <f>IF(A992="","",字段母版!$C$71)</f>
        <v/>
      </c>
      <c r="C992" s="24" t="str">
        <f>IF(A992="","",字段母版!$G$71)</f>
        <v/>
      </c>
      <c r="D992" s="24" t="str">
        <f>IF(A992="","",IF(字段母版!$C$71="Risk","孤立 Risk（ClassificationNA 可为合法信息项）","孤立 Control"))</f>
        <v/>
      </c>
    </row>
    <row r="993" spans="1:4" x14ac:dyDescent="0.25">
      <c r="A993" s="24" t="str">
        <f>IF(OR(AND(字段母版!$C$72="Risk",COUNTIF('Risk-Control关系'!$B$5:$B$72,字段母版!$A$72)=0),AND(字段母版!$C$72="Control",COUNTIF('Risk-Control关系'!$D$5:$D$72,字段母版!$A$72)=0)),字段母版!$A$72,"")</f>
        <v/>
      </c>
      <c r="B993" s="24" t="str">
        <f>IF(A993="","",字段母版!$C$72)</f>
        <v/>
      </c>
      <c r="C993" s="24" t="str">
        <f>IF(A993="","",字段母版!$G$72)</f>
        <v/>
      </c>
      <c r="D993" s="24" t="str">
        <f>IF(A993="","",IF(字段母版!$C$72="Risk","孤立 Risk（ClassificationNA 可为合法信息项）","孤立 Control"))</f>
        <v/>
      </c>
    </row>
    <row r="994" spans="1:4" x14ac:dyDescent="0.25">
      <c r="A994" s="24" t="str">
        <f>IF(OR(AND(字段母版!$C$73="Risk",COUNTIF('Risk-Control关系'!$B$5:$B$72,字段母版!$A$73)=0),AND(字段母版!$C$73="Control",COUNTIF('Risk-Control关系'!$D$5:$D$72,字段母版!$A$73)=0)),字段母版!$A$73,"")</f>
        <v/>
      </c>
      <c r="B994" s="24" t="str">
        <f>IF(A994="","",字段母版!$C$73)</f>
        <v/>
      </c>
      <c r="C994" s="24" t="str">
        <f>IF(A994="","",字段母版!$G$73)</f>
        <v/>
      </c>
      <c r="D994" s="24" t="str">
        <f>IF(A994="","",IF(字段母版!$C$73="Risk","孤立 Risk（ClassificationNA 可为合法信息项）","孤立 Control"))</f>
        <v/>
      </c>
    </row>
    <row r="995" spans="1:4" x14ac:dyDescent="0.25">
      <c r="A995" s="24" t="str">
        <f>IF(OR(AND(字段母版!$C$74="Risk",COUNTIF('Risk-Control关系'!$B$5:$B$72,字段母版!$A$74)=0),AND(字段母版!$C$74="Control",COUNTIF('Risk-Control关系'!$D$5:$D$72,字段母版!$A$74)=0)),字段母版!$A$74,"")</f>
        <v/>
      </c>
      <c r="B995" s="24" t="str">
        <f>IF(A995="","",字段母版!$C$74)</f>
        <v/>
      </c>
      <c r="C995" s="24" t="str">
        <f>IF(A995="","",字段母版!$G$74)</f>
        <v/>
      </c>
      <c r="D995" s="24" t="str">
        <f>IF(A995="","",IF(字段母版!$C$74="Risk","孤立 Risk（ClassificationNA 可为合法信息项）","孤立 Control"))</f>
        <v/>
      </c>
    </row>
    <row r="996" spans="1:4" x14ac:dyDescent="0.25">
      <c r="A996" s="24" t="str">
        <f>IF(OR(AND(字段母版!$C$75="Risk",COUNTIF('Risk-Control关系'!$B$5:$B$72,字段母版!$A$75)=0),AND(字段母版!$C$75="Control",COUNTIF('Risk-Control关系'!$D$5:$D$72,字段母版!$A$75)=0)),字段母版!$A$75,"")</f>
        <v/>
      </c>
      <c r="B996" s="24" t="str">
        <f>IF(A996="","",字段母版!$C$75)</f>
        <v/>
      </c>
      <c r="C996" s="24" t="str">
        <f>IF(A996="","",字段母版!$G$75)</f>
        <v/>
      </c>
      <c r="D996" s="24" t="str">
        <f>IF(A996="","",IF(字段母版!$C$75="Risk","孤立 Risk（ClassificationNA 可为合法信息项）","孤立 Control"))</f>
        <v/>
      </c>
    </row>
    <row r="997" spans="1:4" x14ac:dyDescent="0.25">
      <c r="A997" s="24" t="str">
        <f>IF(OR(AND(字段母版!$C$76="Risk",COUNTIF('Risk-Control关系'!$B$5:$B$72,字段母版!$A$76)=0),AND(字段母版!$C$76="Control",COUNTIF('Risk-Control关系'!$D$5:$D$72,字段母版!$A$76)=0)),字段母版!$A$76,"")</f>
        <v/>
      </c>
      <c r="B997" s="24" t="str">
        <f>IF(A997="","",字段母版!$C$76)</f>
        <v/>
      </c>
      <c r="C997" s="24" t="str">
        <f>IF(A997="","",字段母版!$G$76)</f>
        <v/>
      </c>
      <c r="D997" s="24" t="str">
        <f>IF(A997="","",IF(字段母版!$C$76="Risk","孤立 Risk（ClassificationNA 可为合法信息项）","孤立 Control"))</f>
        <v/>
      </c>
    </row>
    <row r="998" spans="1:4" x14ac:dyDescent="0.25">
      <c r="A998" s="24" t="str">
        <f>IF(OR(AND(字段母版!$C$77="Risk",COUNTIF('Risk-Control关系'!$B$5:$B$72,字段母版!$A$77)=0),AND(字段母版!$C$77="Control",COUNTIF('Risk-Control关系'!$D$5:$D$72,字段母版!$A$77)=0)),字段母版!$A$77,"")</f>
        <v/>
      </c>
      <c r="B998" s="24" t="str">
        <f>IF(A998="","",字段母版!$C$77)</f>
        <v/>
      </c>
      <c r="C998" s="24" t="str">
        <f>IF(A998="","",字段母版!$G$77)</f>
        <v/>
      </c>
      <c r="D998" s="24" t="str">
        <f>IF(A998="","",IF(字段母版!$C$77="Risk","孤立 Risk（ClassificationNA 可为合法信息项）","孤立 Control"))</f>
        <v/>
      </c>
    </row>
    <row r="999" spans="1:4" x14ac:dyDescent="0.25">
      <c r="A999" s="24" t="str">
        <f>IF(OR(AND(字段母版!$C$78="Risk",COUNTIF('Risk-Control关系'!$B$5:$B$72,字段母版!$A$78)=0),AND(字段母版!$C$78="Control",COUNTIF('Risk-Control关系'!$D$5:$D$72,字段母版!$A$78)=0)),字段母版!$A$78,"")</f>
        <v/>
      </c>
      <c r="B999" s="24" t="str">
        <f>IF(A999="","",字段母版!$C$78)</f>
        <v/>
      </c>
      <c r="C999" s="24" t="str">
        <f>IF(A999="","",字段母版!$G$78)</f>
        <v/>
      </c>
      <c r="D999" s="24" t="str">
        <f>IF(A999="","",IF(字段母版!$C$78="Risk","孤立 Risk（ClassificationNA 可为合法信息项）","孤立 Control"))</f>
        <v/>
      </c>
    </row>
    <row r="1000" spans="1:4" x14ac:dyDescent="0.25">
      <c r="A1000" s="24" t="str">
        <f>IF(OR(AND(字段母版!$C$79="Risk",COUNTIF('Risk-Control关系'!$B$5:$B$72,字段母版!$A$79)=0),AND(字段母版!$C$79="Control",COUNTIF('Risk-Control关系'!$D$5:$D$72,字段母版!$A$79)=0)),字段母版!$A$79,"")</f>
        <v/>
      </c>
      <c r="B1000" s="24" t="str">
        <f>IF(A1000="","",字段母版!$C$79)</f>
        <v/>
      </c>
      <c r="C1000" s="24" t="str">
        <f>IF(A1000="","",字段母版!$G$79)</f>
        <v/>
      </c>
      <c r="D1000" s="24" t="str">
        <f>IF(A1000="","",IF(字段母版!$C$79="Risk","孤立 Risk（ClassificationNA 可为合法信息项）","孤立 Control"))</f>
        <v/>
      </c>
    </row>
    <row r="1001" spans="1:4" x14ac:dyDescent="0.25">
      <c r="A1001" s="24" t="str">
        <f>IF(OR(AND(字段母版!$C$80="Risk",COUNTIF('Risk-Control关系'!$B$5:$B$72,字段母版!$A$80)=0),AND(字段母版!$C$80="Control",COUNTIF('Risk-Control关系'!$D$5:$D$72,字段母版!$A$80)=0)),字段母版!$A$80,"")</f>
        <v/>
      </c>
      <c r="B1001" s="24" t="str">
        <f>IF(A1001="","",字段母版!$C$80)</f>
        <v/>
      </c>
      <c r="C1001" s="24" t="str">
        <f>IF(A1001="","",字段母版!$G$80)</f>
        <v/>
      </c>
      <c r="D1001" s="24" t="str">
        <f>IF(A1001="","",IF(字段母版!$C$80="Risk","孤立 Risk（ClassificationNA 可为合法信息项）","孤立 Control"))</f>
        <v/>
      </c>
    </row>
    <row r="1002" spans="1:4" x14ac:dyDescent="0.25">
      <c r="A1002" s="24" t="str">
        <f>IF(OR(AND(字段母版!$C$81="Risk",COUNTIF('Risk-Control关系'!$B$5:$B$72,字段母版!$A$81)=0),AND(字段母版!$C$81="Control",COUNTIF('Risk-Control关系'!$D$5:$D$72,字段母版!$A$81)=0)),字段母版!$A$81,"")</f>
        <v/>
      </c>
      <c r="B1002" s="24" t="str">
        <f>IF(A1002="","",字段母版!$C$81)</f>
        <v/>
      </c>
      <c r="C1002" s="24" t="str">
        <f>IF(A1002="","",字段母版!$G$81)</f>
        <v/>
      </c>
      <c r="D1002" s="24" t="str">
        <f>IF(A1002="","",IF(字段母版!$C$81="Risk","孤立 Risk（ClassificationNA 可为合法信息项）","孤立 Control"))</f>
        <v/>
      </c>
    </row>
    <row r="1003" spans="1:4" x14ac:dyDescent="0.25">
      <c r="A1003" s="24" t="str">
        <f>IF(OR(AND(字段母版!$C$82="Risk",COUNTIF('Risk-Control关系'!$B$5:$B$72,字段母版!$A$82)=0),AND(字段母版!$C$82="Control",COUNTIF('Risk-Control关系'!$D$5:$D$72,字段母版!$A$82)=0)),字段母版!$A$82,"")</f>
        <v/>
      </c>
      <c r="B1003" s="24" t="str">
        <f>IF(A1003="","",字段母版!$C$82)</f>
        <v/>
      </c>
      <c r="C1003" s="24" t="str">
        <f>IF(A1003="","",字段母版!$G$82)</f>
        <v/>
      </c>
      <c r="D1003" s="24" t="str">
        <f>IF(A1003="","",IF(字段母版!$C$82="Risk","孤立 Risk（ClassificationNA 可为合法信息项）","孤立 Control"))</f>
        <v/>
      </c>
    </row>
    <row r="1004" spans="1:4" ht="45" x14ac:dyDescent="0.25">
      <c r="A1004" s="24" t="str">
        <f>IF(OR(AND(字段母版!$C$83="Risk",COUNTIF('Risk-Control关系'!$B$5:$B$72,字段母版!$A$83)=0),AND(字段母版!$C$83="Control",COUNTIF('Risk-Control关系'!$D$5:$D$72,字段母版!$A$83)=0)),字段母版!$A$83,"")</f>
        <v>P1.RISK.APP.GENERIC.RAITCOR002</v>
      </c>
      <c r="B1004" s="24" t="str">
        <f>IF(A1004="","",字段母版!$C$83)</f>
        <v>Risk</v>
      </c>
      <c r="C1004" s="24" t="str">
        <f>IF(A1004="","",字段母版!$G$83)</f>
        <v>RAITCOR002｜通用应用程序 - 通过应用系统层面操作以外的其他方式直接对财务数据进行不适当的更改。</v>
      </c>
      <c r="D1004" s="24" t="str">
        <f>IF(A1004="","",IF(字段母版!$C$83="Risk","孤立 Risk（ClassificationNA 可为合法信息项）","孤立 Control"))</f>
        <v>孤立 Risk（ClassificationNA 可为合法信息项）</v>
      </c>
    </row>
    <row r="1005" spans="1:4" x14ac:dyDescent="0.25">
      <c r="A1005" s="24" t="str">
        <f>IF(OR(AND(字段母版!$C$84="Risk",COUNTIF('Risk-Control关系'!$B$5:$B$72,字段母版!$A$84)=0),AND(字段母版!$C$84="Control",COUNTIF('Risk-Control关系'!$D$5:$D$72,字段母版!$A$84)=0)),字段母版!$A$84,"")</f>
        <v/>
      </c>
      <c r="B1005" s="24" t="str">
        <f>IF(A1005="","",字段母版!$C$84)</f>
        <v/>
      </c>
      <c r="C1005" s="24" t="str">
        <f>IF(A1005="","",字段母版!$G$84)</f>
        <v/>
      </c>
      <c r="D1005" s="24" t="str">
        <f>IF(A1005="","",IF(字段母版!$C$84="Risk","孤立 Risk（ClassificationNA 可为合法信息项）","孤立 Control"))</f>
        <v/>
      </c>
    </row>
    <row r="1006" spans="1:4" x14ac:dyDescent="0.25">
      <c r="A1006" s="24" t="str">
        <f>IF(OR(AND(字段母版!$C$85="Risk",COUNTIF('Risk-Control关系'!$B$5:$B$72,字段母版!$A$85)=0),AND(字段母版!$C$85="Control",COUNTIF('Risk-Control关系'!$D$5:$D$72,字段母版!$A$85)=0)),字段母版!$A$85,"")</f>
        <v/>
      </c>
      <c r="B1006" s="24" t="str">
        <f>IF(A1006="","",字段母版!$C$85)</f>
        <v/>
      </c>
      <c r="C1006" s="24" t="str">
        <f>IF(A1006="","",字段母版!$G$85)</f>
        <v/>
      </c>
      <c r="D1006" s="24" t="str">
        <f>IF(A1006="","",IF(字段母版!$C$85="Risk","孤立 Risk（ClassificationNA 可为合法信息项）","孤立 Control"))</f>
        <v/>
      </c>
    </row>
    <row r="1007" spans="1:4" x14ac:dyDescent="0.25">
      <c r="A1007" s="24" t="str">
        <f>IF(OR(AND(字段母版!$C$86="Risk",COUNTIF('Risk-Control关系'!$B$5:$B$72,字段母版!$A$86)=0),AND(字段母版!$C$86="Control",COUNTIF('Risk-Control关系'!$D$5:$D$72,字段母版!$A$86)=0)),字段母版!$A$86,"")</f>
        <v/>
      </c>
      <c r="B1007" s="24" t="str">
        <f>IF(A1007="","",字段母版!$C$86)</f>
        <v/>
      </c>
      <c r="C1007" s="24" t="str">
        <f>IF(A1007="","",字段母版!$G$86)</f>
        <v/>
      </c>
      <c r="D1007" s="24" t="str">
        <f>IF(A1007="","",IF(字段母版!$C$86="Risk","孤立 Risk（ClassificationNA 可为合法信息项）","孤立 Control"))</f>
        <v/>
      </c>
    </row>
    <row r="1008" spans="1:4" x14ac:dyDescent="0.25">
      <c r="A1008" s="24" t="str">
        <f>IF(OR(AND(字段母版!$C$87="Risk",COUNTIF('Risk-Control关系'!$B$5:$B$72,字段母版!$A$87)=0),AND(字段母版!$C$87="Control",COUNTIF('Risk-Control关系'!$D$5:$D$72,字段母版!$A$87)=0)),字段母版!$A$87,"")</f>
        <v/>
      </c>
      <c r="B1008" s="24" t="str">
        <f>IF(A1008="","",字段母版!$C$87)</f>
        <v/>
      </c>
      <c r="C1008" s="24" t="str">
        <f>IF(A1008="","",字段母版!$G$87)</f>
        <v/>
      </c>
      <c r="D1008" s="24" t="str">
        <f>IF(A1008="","",IF(字段母版!$C$87="Risk","孤立 Risk（ClassificationNA 可为合法信息项）","孤立 Control"))</f>
        <v/>
      </c>
    </row>
    <row r="1009" spans="1:4" x14ac:dyDescent="0.25">
      <c r="A1009" s="24" t="str">
        <f>IF(OR(AND(字段母版!$C$88="Risk",COUNTIF('Risk-Control关系'!$B$5:$B$72,字段母版!$A$88)=0),AND(字段母版!$C$88="Control",COUNTIF('Risk-Control关系'!$D$5:$D$72,字段母版!$A$88)=0)),字段母版!$A$88,"")</f>
        <v/>
      </c>
      <c r="B1009" s="24" t="str">
        <f>IF(A1009="","",字段母版!$C$88)</f>
        <v/>
      </c>
      <c r="C1009" s="24" t="str">
        <f>IF(A1009="","",字段母版!$G$88)</f>
        <v/>
      </c>
      <c r="D1009" s="24" t="str">
        <f>IF(A1009="","",IF(字段母版!$C$88="Risk","孤立 Risk（ClassificationNA 可为合法信息项）","孤立 Control"))</f>
        <v/>
      </c>
    </row>
    <row r="1010" spans="1:4" ht="60" x14ac:dyDescent="0.25">
      <c r="A1010" s="24" t="str">
        <f>IF(OR(AND(字段母版!$C$89="Risk",COUNTIF('Risk-Control关系'!$B$5:$B$72,字段母版!$A$89)=0),AND(字段母版!$C$89="Control",COUNTIF('Risk-Control关系'!$D$5:$D$72,字段母版!$A$89)=0)),字段母版!$A$89,"")</f>
        <v>P1.RISK.APP.GENERIC.RAITCOR007</v>
      </c>
      <c r="B1010" s="24" t="str">
        <f>IF(A1010="","",字段母版!$C$89)</f>
        <v>Risk</v>
      </c>
      <c r="C1010" s="24" t="str">
        <f>IF(A1010="","",字段母版!$G$89)</f>
        <v>RAITCOR007｜通用应用程序 - 在从旧系统或以前版本的系统转换数据时，由于转换传输的数据不完整、冗余、过时或不准确导致传输数据错误。</v>
      </c>
      <c r="D1010" s="24" t="str">
        <f>IF(A1010="","",IF(字段母版!$C$89="Risk","孤立 Risk（ClassificationNA 可为合法信息项）","孤立 Control"))</f>
        <v>孤立 Risk（ClassificationNA 可为合法信息项）</v>
      </c>
    </row>
    <row r="1011" spans="1:4" x14ac:dyDescent="0.25">
      <c r="A1011" s="24" t="str">
        <f>IF(OR(AND(字段母版!$C$90="Risk",COUNTIF('Risk-Control关系'!$B$5:$B$72,字段母版!$A$90)=0),AND(字段母版!$C$90="Control",COUNTIF('Risk-Control关系'!$D$5:$D$72,字段母版!$A$90)=0)),字段母版!$A$90,"")</f>
        <v/>
      </c>
      <c r="B1011" s="24" t="str">
        <f>IF(A1011="","",字段母版!$C$90)</f>
        <v/>
      </c>
      <c r="C1011" s="24" t="str">
        <f>IF(A1011="","",字段母版!$G$90)</f>
        <v/>
      </c>
      <c r="D1011" s="24" t="str">
        <f>IF(A1011="","",IF(字段母版!$C$90="Risk","孤立 Risk（ClassificationNA 可为合法信息项）","孤立 Control"))</f>
        <v/>
      </c>
    </row>
    <row r="1012" spans="1:4" x14ac:dyDescent="0.25">
      <c r="A1012" s="24" t="str">
        <f>IF(OR(AND(字段母版!$C$91="Risk",COUNTIF('Risk-Control关系'!$B$5:$B$72,字段母版!$A$91)=0),AND(字段母版!$C$91="Control",COUNTIF('Risk-Control关系'!$D$5:$D$72,字段母版!$A$91)=0)),字段母版!$A$91,"")</f>
        <v/>
      </c>
      <c r="B1012" s="24" t="str">
        <f>IF(A1012="","",字段母版!$C$91)</f>
        <v/>
      </c>
      <c r="C1012" s="24" t="str">
        <f>IF(A1012="","",字段母版!$G$91)</f>
        <v/>
      </c>
      <c r="D1012" s="24" t="str">
        <f>IF(A1012="","",IF(字段母版!$C$91="Risk","孤立 Risk（ClassificationNA 可为合法信息项）","孤立 Control"))</f>
        <v/>
      </c>
    </row>
    <row r="1013" spans="1:4" x14ac:dyDescent="0.25">
      <c r="A1013" s="24" t="str">
        <f>IF(OR(AND(字段母版!$C$92="Risk",COUNTIF('Risk-Control关系'!$B$5:$B$72,字段母版!$A$92)=0),AND(字段母版!$C$92="Control",COUNTIF('Risk-Control关系'!$D$5:$D$72,字段母版!$A$92)=0)),字段母版!$A$92,"")</f>
        <v/>
      </c>
      <c r="B1013" s="24" t="str">
        <f>IF(A1013="","",字段母版!$C$92)</f>
        <v/>
      </c>
      <c r="C1013" s="24" t="str">
        <f>IF(A1013="","",字段母版!$G$92)</f>
        <v/>
      </c>
      <c r="D1013" s="24" t="str">
        <f>IF(A1013="","",IF(字段母版!$C$92="Risk","孤立 Risk（ClassificationNA 可为合法信息项）","孤立 Control"))</f>
        <v/>
      </c>
    </row>
    <row r="1014" spans="1:4" x14ac:dyDescent="0.25">
      <c r="A1014" s="24" t="str">
        <f>IF(OR(AND(字段母版!$C$93="Risk",COUNTIF('Risk-Control关系'!$B$5:$B$72,字段母版!$A$93)=0),AND(字段母版!$C$93="Control",COUNTIF('Risk-Control关系'!$D$5:$D$72,字段母版!$A$93)=0)),字段母版!$A$93,"")</f>
        <v/>
      </c>
      <c r="B1014" s="24" t="str">
        <f>IF(A1014="","",字段母版!$C$93)</f>
        <v/>
      </c>
      <c r="C1014" s="24" t="str">
        <f>IF(A1014="","",字段母版!$G$93)</f>
        <v/>
      </c>
      <c r="D1014" s="24" t="str">
        <f>IF(A1014="","",IF(字段母版!$C$93="Risk","孤立 Risk（ClassificationNA 可为合法信息项）","孤立 Control"))</f>
        <v/>
      </c>
    </row>
    <row r="1015" spans="1:4" x14ac:dyDescent="0.25">
      <c r="A1015" s="24" t="str">
        <f>IF(OR(AND(字段母版!$C$94="Risk",COUNTIF('Risk-Control关系'!$B$5:$B$72,字段母版!$A$94)=0),AND(字段母版!$C$94="Control",COUNTIF('Risk-Control关系'!$D$5:$D$72,字段母版!$A$94)=0)),字段母版!$A$94,"")</f>
        <v/>
      </c>
      <c r="B1015" s="24" t="str">
        <f>IF(A1015="","",字段母版!$C$94)</f>
        <v/>
      </c>
      <c r="C1015" s="24" t="str">
        <f>IF(A1015="","",字段母版!$G$94)</f>
        <v/>
      </c>
      <c r="D1015" s="24" t="str">
        <f>IF(A1015="","",IF(字段母版!$C$94="Risk","孤立 Risk（ClassificationNA 可为合法信息项）","孤立 Control"))</f>
        <v/>
      </c>
    </row>
    <row r="1016" spans="1:4" x14ac:dyDescent="0.25">
      <c r="A1016" s="24" t="str">
        <f>IF(OR(AND(字段母版!$C$95="Risk",COUNTIF('Risk-Control关系'!$B$5:$B$72,字段母版!$A$95)=0),AND(字段母版!$C$95="Control",COUNTIF('Risk-Control关系'!$D$5:$D$72,字段母版!$A$95)=0)),字段母版!$A$95,"")</f>
        <v/>
      </c>
      <c r="B1016" s="24" t="str">
        <f>IF(A1016="","",字段母版!$C$95)</f>
        <v/>
      </c>
      <c r="C1016" s="24" t="str">
        <f>IF(A1016="","",字段母版!$G$95)</f>
        <v/>
      </c>
      <c r="D1016" s="24" t="str">
        <f>IF(A1016="","",IF(字段母版!$C$95="Risk","孤立 Risk（ClassificationNA 可为合法信息项）","孤立 Control"))</f>
        <v/>
      </c>
    </row>
    <row r="1017" spans="1:4" x14ac:dyDescent="0.25">
      <c r="A1017" s="24" t="str">
        <f>IF(OR(AND(字段母版!$C$96="Risk",COUNTIF('Risk-Control关系'!$B$5:$B$72,字段母版!$A$96)=0),AND(字段母版!$C$96="Control",COUNTIF('Risk-Control关系'!$D$5:$D$72,字段母版!$A$96)=0)),字段母版!$A$96,"")</f>
        <v/>
      </c>
      <c r="B1017" s="24" t="str">
        <f>IF(A1017="","",字段母版!$C$96)</f>
        <v/>
      </c>
      <c r="C1017" s="24" t="str">
        <f>IF(A1017="","",字段母版!$G$96)</f>
        <v/>
      </c>
      <c r="D1017" s="24" t="str">
        <f>IF(A1017="","",IF(字段母版!$C$96="Risk","孤立 Risk（ClassificationNA 可为合法信息项）","孤立 Control"))</f>
        <v/>
      </c>
    </row>
    <row r="1018" spans="1:4" x14ac:dyDescent="0.25">
      <c r="A1018" s="24" t="str">
        <f>IF(OR(AND(字段母版!$C$97="Risk",COUNTIF('Risk-Control关系'!$B$5:$B$72,字段母版!$A$97)=0),AND(字段母版!$C$97="Control",COUNTIF('Risk-Control关系'!$D$5:$D$72,字段母版!$A$97)=0)),字段母版!$A$97,"")</f>
        <v/>
      </c>
      <c r="B1018" s="24" t="str">
        <f>IF(A1018="","",字段母版!$C$97)</f>
        <v/>
      </c>
      <c r="C1018" s="24" t="str">
        <f>IF(A1018="","",字段母版!$G$97)</f>
        <v/>
      </c>
      <c r="D1018" s="24" t="str">
        <f>IF(A1018="","",IF(字段母版!$C$97="Risk","孤立 Risk（ClassificationNA 可为合法信息项）","孤立 Control"))</f>
        <v/>
      </c>
    </row>
    <row r="1019" spans="1:4" x14ac:dyDescent="0.25">
      <c r="A1019" s="24" t="str">
        <f>IF(OR(AND(字段母版!$C$98="Risk",COUNTIF('Risk-Control关系'!$B$5:$B$72,字段母版!$A$98)=0),AND(字段母版!$C$98="Control",COUNTIF('Risk-Control关系'!$D$5:$D$72,字段母版!$A$98)=0)),字段母版!$A$98,"")</f>
        <v/>
      </c>
      <c r="B1019" s="24" t="str">
        <f>IF(A1019="","",字段母版!$C$98)</f>
        <v/>
      </c>
      <c r="C1019" s="24" t="str">
        <f>IF(A1019="","",字段母版!$G$98)</f>
        <v/>
      </c>
      <c r="D1019" s="24" t="str">
        <f>IF(A1019="","",IF(字段母版!$C$98="Risk","孤立 Risk（ClassificationNA 可为合法信息项）","孤立 Control"))</f>
        <v/>
      </c>
    </row>
    <row r="1020" spans="1:4" x14ac:dyDescent="0.25">
      <c r="A1020" s="24" t="str">
        <f>IF(OR(AND(字段母版!$C$99="Risk",COUNTIF('Risk-Control关系'!$B$5:$B$72,字段母版!$A$99)=0),AND(字段母版!$C$99="Control",COUNTIF('Risk-Control关系'!$D$5:$D$72,字段母版!$A$99)=0)),字段母版!$A$99,"")</f>
        <v/>
      </c>
      <c r="B1020" s="24" t="str">
        <f>IF(A1020="","",字段母版!$C$99)</f>
        <v/>
      </c>
      <c r="C1020" s="24" t="str">
        <f>IF(A1020="","",字段母版!$G$99)</f>
        <v/>
      </c>
      <c r="D1020" s="24" t="str">
        <f>IF(A1020="","",IF(字段母版!$C$99="Risk","孤立 Risk（ClassificationNA 可为合法信息项）","孤立 Control"))</f>
        <v/>
      </c>
    </row>
    <row r="1021" spans="1:4" x14ac:dyDescent="0.25">
      <c r="A1021" s="24" t="str">
        <f>IF(OR(AND(字段母版!$C$100="Risk",COUNTIF('Risk-Control关系'!$B$5:$B$72,字段母版!$A$100)=0),AND(字段母版!$C$100="Control",COUNTIF('Risk-Control关系'!$D$5:$D$72,字段母版!$A$100)=0)),字段母版!$A$100,"")</f>
        <v/>
      </c>
      <c r="B1021" s="24" t="str">
        <f>IF(A1021="","",字段母版!$C$100)</f>
        <v/>
      </c>
      <c r="C1021" s="24" t="str">
        <f>IF(A1021="","",字段母版!$G$100)</f>
        <v/>
      </c>
      <c r="D1021" s="24" t="str">
        <f>IF(A1021="","",IF(字段母版!$C$100="Risk","孤立 Risk（ClassificationNA 可为合法信息项）","孤立 Control"))</f>
        <v/>
      </c>
    </row>
    <row r="1022" spans="1:4" x14ac:dyDescent="0.25">
      <c r="A1022" s="24" t="str">
        <f>IF(OR(AND(字段母版!$C$101="Risk",COUNTIF('Risk-Control关系'!$B$5:$B$72,字段母版!$A$101)=0),AND(字段母版!$C$101="Control",COUNTIF('Risk-Control关系'!$D$5:$D$72,字段母版!$A$101)=0)),字段母版!$A$101,"")</f>
        <v/>
      </c>
      <c r="B1022" s="24" t="str">
        <f>IF(A1022="","",字段母版!$C$101)</f>
        <v/>
      </c>
      <c r="C1022" s="24" t="str">
        <f>IF(A1022="","",字段母版!$G$101)</f>
        <v/>
      </c>
      <c r="D1022" s="24" t="str">
        <f>IF(A1022="","",IF(字段母版!$C$101="Risk","孤立 Risk（ClassificationNA 可为合法信息项）","孤立 Control"))</f>
        <v/>
      </c>
    </row>
    <row r="1023" spans="1:4" x14ac:dyDescent="0.25">
      <c r="A1023" s="24" t="str">
        <f>IF(OR(AND(字段母版!$C$102="Risk",COUNTIF('Risk-Control关系'!$B$5:$B$72,字段母版!$A$102)=0),AND(字段母版!$C$102="Control",COUNTIF('Risk-Control关系'!$D$5:$D$72,字段母版!$A$102)=0)),字段母版!$A$102,"")</f>
        <v/>
      </c>
      <c r="B1023" s="24" t="str">
        <f>IF(A1023="","",字段母版!$C$102)</f>
        <v/>
      </c>
      <c r="C1023" s="24" t="str">
        <f>IF(A1023="","",字段母版!$G$102)</f>
        <v/>
      </c>
      <c r="D1023" s="24" t="str">
        <f>IF(A1023="","",IF(字段母版!$C$102="Risk","孤立 Risk（ClassificationNA 可为合法信息项）","孤立 Control"))</f>
        <v/>
      </c>
    </row>
    <row r="1024" spans="1:4" x14ac:dyDescent="0.25">
      <c r="A1024" s="24" t="str">
        <f>IF(OR(AND(字段母版!$C$103="Risk",COUNTIF('Risk-Control关系'!$B$5:$B$72,字段母版!$A$103)=0),AND(字段母版!$C$103="Control",COUNTIF('Risk-Control关系'!$D$5:$D$72,字段母版!$A$103)=0)),字段母版!$A$103,"")</f>
        <v/>
      </c>
      <c r="B1024" s="24" t="str">
        <f>IF(A1024="","",字段母版!$C$103)</f>
        <v/>
      </c>
      <c r="C1024" s="24" t="str">
        <f>IF(A1024="","",字段母版!$G$103)</f>
        <v/>
      </c>
      <c r="D1024" s="24" t="str">
        <f>IF(A1024="","",IF(字段母版!$C$103="Risk","孤立 Risk（ClassificationNA 可为合法信息项）","孤立 Control"))</f>
        <v/>
      </c>
    </row>
    <row r="1025" spans="1:4" x14ac:dyDescent="0.25">
      <c r="A1025" s="24" t="str">
        <f>IF(OR(AND(字段母版!$C$104="Risk",COUNTIF('Risk-Control关系'!$B$5:$B$72,字段母版!$A$104)=0),AND(字段母版!$C$104="Control",COUNTIF('Risk-Control关系'!$D$5:$D$72,字段母版!$A$104)=0)),字段母版!$A$104,"")</f>
        <v/>
      </c>
      <c r="B1025" s="24" t="str">
        <f>IF(A1025="","",字段母版!$C$104)</f>
        <v/>
      </c>
      <c r="C1025" s="24" t="str">
        <f>IF(A1025="","",字段母版!$G$104)</f>
        <v/>
      </c>
      <c r="D1025" s="24" t="str">
        <f>IF(A1025="","",IF(字段母版!$C$104="Risk","孤立 Risk（ClassificationNA 可为合法信息项）","孤立 Control"))</f>
        <v/>
      </c>
    </row>
    <row r="1026" spans="1:4" x14ac:dyDescent="0.25">
      <c r="A1026" s="24" t="str">
        <f>IF(OR(AND(字段母版!$C$105="Risk",COUNTIF('Risk-Control关系'!$B$5:$B$72,字段母版!$A$105)=0),AND(字段母版!$C$105="Control",COUNTIF('Risk-Control关系'!$D$5:$D$72,字段母版!$A$105)=0)),字段母版!$A$105,"")</f>
        <v/>
      </c>
      <c r="B1026" s="24" t="str">
        <f>IF(A1026="","",字段母版!$C$105)</f>
        <v/>
      </c>
      <c r="C1026" s="24" t="str">
        <f>IF(A1026="","",字段母版!$G$105)</f>
        <v/>
      </c>
      <c r="D1026" s="24" t="str">
        <f>IF(A1026="","",IF(字段母版!$C$105="Risk","孤立 Risk（ClassificationNA 可为合法信息项）","孤立 Control"))</f>
        <v/>
      </c>
    </row>
    <row r="1027" spans="1:4" x14ac:dyDescent="0.25">
      <c r="A1027" s="24" t="str">
        <f>IF(OR(AND(字段母版!$C$106="Risk",COUNTIF('Risk-Control关系'!$B$5:$B$72,字段母版!$A$106)=0),AND(字段母版!$C$106="Control",COUNTIF('Risk-Control关系'!$D$5:$D$72,字段母版!$A$106)=0)),字段母版!$A$106,"")</f>
        <v/>
      </c>
      <c r="B1027" s="24" t="str">
        <f>IF(A1027="","",字段母版!$C$106)</f>
        <v/>
      </c>
      <c r="C1027" s="24" t="str">
        <f>IF(A1027="","",字段母版!$G$106)</f>
        <v/>
      </c>
      <c r="D1027" s="24" t="str">
        <f>IF(A1027="","",IF(字段母版!$C$106="Risk","孤立 Risk（ClassificationNA 可为合法信息项）","孤立 Control"))</f>
        <v/>
      </c>
    </row>
    <row r="1028" spans="1:4" x14ac:dyDescent="0.25">
      <c r="A1028" s="24" t="str">
        <f>IF(OR(AND(字段母版!$C$107="Risk",COUNTIF('Risk-Control关系'!$B$5:$B$72,字段母版!$A$107)=0),AND(字段母版!$C$107="Control",COUNTIF('Risk-Control关系'!$D$5:$D$72,字段母版!$A$107)=0)),字段母版!$A$107,"")</f>
        <v/>
      </c>
      <c r="B1028" s="24" t="str">
        <f>IF(A1028="","",字段母版!$C$107)</f>
        <v/>
      </c>
      <c r="C1028" s="24" t="str">
        <f>IF(A1028="","",字段母版!$G$107)</f>
        <v/>
      </c>
      <c r="D1028" s="24" t="str">
        <f>IF(A1028="","",IF(字段母版!$C$107="Risk","孤立 Risk（ClassificationNA 可为合法信息项）","孤立 Control"))</f>
        <v/>
      </c>
    </row>
    <row r="1029" spans="1:4" x14ac:dyDescent="0.25">
      <c r="A1029" s="24" t="str">
        <f>IF(OR(AND(字段母版!$C$108="Risk",COUNTIF('Risk-Control关系'!$B$5:$B$72,字段母版!$A$108)=0),AND(字段母版!$C$108="Control",COUNTIF('Risk-Control关系'!$D$5:$D$72,字段母版!$A$108)=0)),字段母版!$A$108,"")</f>
        <v/>
      </c>
      <c r="B1029" s="24" t="str">
        <f>IF(A1029="","",字段母版!$C$108)</f>
        <v/>
      </c>
      <c r="C1029" s="24" t="str">
        <f>IF(A1029="","",字段母版!$G$108)</f>
        <v/>
      </c>
      <c r="D1029" s="24" t="str">
        <f>IF(A1029="","",IF(字段母版!$C$108="Risk","孤立 Risk（ClassificationNA 可为合法信息项）","孤立 Control"))</f>
        <v/>
      </c>
    </row>
    <row r="1030" spans="1:4" x14ac:dyDescent="0.25">
      <c r="A1030" s="24" t="str">
        <f>IF(OR(AND(字段母版!$C$109="Risk",COUNTIF('Risk-Control关系'!$B$5:$B$72,字段母版!$A$109)=0),AND(字段母版!$C$109="Control",COUNTIF('Risk-Control关系'!$D$5:$D$72,字段母版!$A$109)=0)),字段母版!$A$109,"")</f>
        <v/>
      </c>
      <c r="B1030" s="24" t="str">
        <f>IF(A1030="","",字段母版!$C$109)</f>
        <v/>
      </c>
      <c r="C1030" s="24" t="str">
        <f>IF(A1030="","",字段母版!$G$109)</f>
        <v/>
      </c>
      <c r="D1030" s="24" t="str">
        <f>IF(A1030="","",IF(字段母版!$C$109="Risk","孤立 Risk（ClassificationNA 可为合法信息项）","孤立 Control"))</f>
        <v/>
      </c>
    </row>
    <row r="1031" spans="1:4" x14ac:dyDescent="0.25">
      <c r="A1031" s="24" t="str">
        <f>IF(OR(AND(字段母版!$C$110="Risk",COUNTIF('Risk-Control关系'!$B$5:$B$72,字段母版!$A$110)=0),AND(字段母版!$C$110="Control",COUNTIF('Risk-Control关系'!$D$5:$D$72,字段母版!$A$110)=0)),字段母版!$A$110,"")</f>
        <v/>
      </c>
      <c r="B1031" s="24" t="str">
        <f>IF(A1031="","",字段母版!$C$110)</f>
        <v/>
      </c>
      <c r="C1031" s="24" t="str">
        <f>IF(A1031="","",字段母版!$G$110)</f>
        <v/>
      </c>
      <c r="D1031" s="24" t="str">
        <f>IF(A1031="","",IF(字段母版!$C$110="Risk","孤立 Risk（ClassificationNA 可为合法信息项）","孤立 Control"))</f>
        <v/>
      </c>
    </row>
    <row r="1032" spans="1:4" x14ac:dyDescent="0.25">
      <c r="A1032" s="24" t="str">
        <f>IF(OR(AND(字段母版!$C$111="Risk",COUNTIF('Risk-Control关系'!$B$5:$B$72,字段母版!$A$111)=0),AND(字段母版!$C$111="Control",COUNTIF('Risk-Control关系'!$D$5:$D$72,字段母版!$A$111)=0)),字段母版!$A$111,"")</f>
        <v/>
      </c>
      <c r="B1032" s="24" t="str">
        <f>IF(A1032="","",字段母版!$C$111)</f>
        <v/>
      </c>
      <c r="C1032" s="24" t="str">
        <f>IF(A1032="","",字段母版!$G$111)</f>
        <v/>
      </c>
      <c r="D1032" s="24" t="str">
        <f>IF(A1032="","",IF(字段母版!$C$111="Risk","孤立 Risk（ClassificationNA 可为合法信息项）","孤立 Control"))</f>
        <v/>
      </c>
    </row>
    <row r="1033" spans="1:4" x14ac:dyDescent="0.25">
      <c r="A1033" s="24" t="str">
        <f>IF(OR(AND(字段母版!$C$112="Risk",COUNTIF('Risk-Control关系'!$B$5:$B$72,字段母版!$A$112)=0),AND(字段母版!$C$112="Control",COUNTIF('Risk-Control关系'!$D$5:$D$72,字段母版!$A$112)=0)),字段母版!$A$112,"")</f>
        <v/>
      </c>
      <c r="B1033" s="24" t="str">
        <f>IF(A1033="","",字段母版!$C$112)</f>
        <v/>
      </c>
      <c r="C1033" s="24" t="str">
        <f>IF(A1033="","",字段母版!$G$112)</f>
        <v/>
      </c>
      <c r="D1033" s="24" t="str">
        <f>IF(A1033="","",IF(字段母版!$C$112="Risk","孤立 Risk（ClassificationNA 可为合法信息项）","孤立 Control"))</f>
        <v/>
      </c>
    </row>
    <row r="1034" spans="1:4" x14ac:dyDescent="0.25">
      <c r="A1034" s="24" t="str">
        <f>IF(OR(AND(字段母版!$C$113="Risk",COUNTIF('Risk-Control关系'!$B$5:$B$72,字段母版!$A$113)=0),AND(字段母版!$C$113="Control",COUNTIF('Risk-Control关系'!$D$5:$D$72,字段母版!$A$113)=0)),字段母版!$A$113,"")</f>
        <v/>
      </c>
      <c r="B1034" s="24" t="str">
        <f>IF(A1034="","",字段母版!$C$113)</f>
        <v/>
      </c>
      <c r="C1034" s="24" t="str">
        <f>IF(A1034="","",字段母版!$G$113)</f>
        <v/>
      </c>
      <c r="D1034" s="24" t="str">
        <f>IF(A1034="","",IF(字段母版!$C$113="Risk","孤立 Risk（ClassificationNA 可为合法信息项）","孤立 Control"))</f>
        <v/>
      </c>
    </row>
    <row r="1035" spans="1:4" x14ac:dyDescent="0.25">
      <c r="A1035" s="24" t="str">
        <f>IF(OR(AND(字段母版!$C$114="Risk",COUNTIF('Risk-Control关系'!$B$5:$B$72,字段母版!$A$114)=0),AND(字段母版!$C$114="Control",COUNTIF('Risk-Control关系'!$D$5:$D$72,字段母版!$A$114)=0)),字段母版!$A$114,"")</f>
        <v/>
      </c>
      <c r="B1035" s="24" t="str">
        <f>IF(A1035="","",字段母版!$C$114)</f>
        <v/>
      </c>
      <c r="C1035" s="24" t="str">
        <f>IF(A1035="","",字段母版!$G$114)</f>
        <v/>
      </c>
      <c r="D1035" s="24" t="str">
        <f>IF(A1035="","",IF(字段母版!$C$114="Risk","孤立 Risk（ClassificationNA 可为合法信息项）","孤立 Control"))</f>
        <v/>
      </c>
    </row>
    <row r="1036" spans="1:4" x14ac:dyDescent="0.25">
      <c r="A1036" s="24" t="str">
        <f>IF(OR(AND(字段母版!$C$115="Risk",COUNTIF('Risk-Control关系'!$B$5:$B$72,字段母版!$A$115)=0),AND(字段母版!$C$115="Control",COUNTIF('Risk-Control关系'!$D$5:$D$72,字段母版!$A$115)=0)),字段母版!$A$115,"")</f>
        <v/>
      </c>
      <c r="B1036" s="24" t="str">
        <f>IF(A1036="","",字段母版!$C$115)</f>
        <v/>
      </c>
      <c r="C1036" s="24" t="str">
        <f>IF(A1036="","",字段母版!$G$115)</f>
        <v/>
      </c>
      <c r="D1036" s="24" t="str">
        <f>IF(A1036="","",IF(字段母版!$C$115="Risk","孤立 Risk（ClassificationNA 可为合法信息项）","孤立 Control"))</f>
        <v/>
      </c>
    </row>
    <row r="1037" spans="1:4" x14ac:dyDescent="0.25">
      <c r="A1037" s="24" t="str">
        <f>IF(OR(AND(字段母版!$C$116="Risk",COUNTIF('Risk-Control关系'!$B$5:$B$72,字段母版!$A$116)=0),AND(字段母版!$C$116="Control",COUNTIF('Risk-Control关系'!$D$5:$D$72,字段母版!$A$116)=0)),字段母版!$A$116,"")</f>
        <v/>
      </c>
      <c r="B1037" s="24" t="str">
        <f>IF(A1037="","",字段母版!$C$116)</f>
        <v/>
      </c>
      <c r="C1037" s="24" t="str">
        <f>IF(A1037="","",字段母版!$G$116)</f>
        <v/>
      </c>
      <c r="D1037" s="24" t="str">
        <f>IF(A1037="","",IF(字段母版!$C$116="Risk","孤立 Risk（ClassificationNA 可为合法信息项）","孤立 Control"))</f>
        <v/>
      </c>
    </row>
    <row r="1038" spans="1:4" ht="45" x14ac:dyDescent="0.25">
      <c r="A1038" s="24" t="str">
        <f>IF(OR(AND(字段母版!$C$117="Risk",COUNTIF('Risk-Control关系'!$B$5:$B$72,字段母版!$A$117)=0),AND(字段母版!$C$117="Control",COUNTIF('Risk-Control关系'!$D$5:$D$72,字段母版!$A$117)=0)),字段母版!$A$117,"")</f>
        <v>P1.RISK.APP.SAP_ECC.RAITCOR007</v>
      </c>
      <c r="B1038" s="24" t="str">
        <f>IF(A1038="","",字段母版!$C$117)</f>
        <v>Risk</v>
      </c>
      <c r="C1038" s="24" t="str">
        <f>IF(A1038="","",字段母版!$G$117)</f>
        <v>RAITCOR007｜SAP ECC - 从旧系统或以前版本转换数据时，因数据不完整、冗余、过时或不准确导致转换错误。</v>
      </c>
      <c r="D1038" s="24" t="str">
        <f>IF(A1038="","",IF(字段母版!$C$117="Risk","孤立 Risk（ClassificationNA 可为合法信息项）","孤立 Control"))</f>
        <v>孤立 Risk（ClassificationNA 可为合法信息项）</v>
      </c>
    </row>
    <row r="1039" spans="1:4" x14ac:dyDescent="0.25">
      <c r="A1039" s="24" t="str">
        <f>IF(OR(AND(字段母版!$C$118="Risk",COUNTIF('Risk-Control关系'!$B$5:$B$72,字段母版!$A$118)=0),AND(字段母版!$C$118="Control",COUNTIF('Risk-Control关系'!$D$5:$D$72,字段母版!$A$118)=0)),字段母版!$A$118,"")</f>
        <v/>
      </c>
      <c r="B1039" s="24" t="str">
        <f>IF(A1039="","",字段母版!$C$118)</f>
        <v/>
      </c>
      <c r="C1039" s="24" t="str">
        <f>IF(A1039="","",字段母版!$G$118)</f>
        <v/>
      </c>
      <c r="D1039" s="24" t="str">
        <f>IF(A1039="","",IF(字段母版!$C$118="Risk","孤立 Risk（ClassificationNA 可为合法信息项）","孤立 Control"))</f>
        <v/>
      </c>
    </row>
    <row r="1040" spans="1:4" x14ac:dyDescent="0.25">
      <c r="A1040" s="24" t="str">
        <f>IF(OR(AND(字段母版!$C$119="Risk",COUNTIF('Risk-Control关系'!$B$5:$B$72,字段母版!$A$119)=0),AND(字段母版!$C$119="Control",COUNTIF('Risk-Control关系'!$D$5:$D$72,字段母版!$A$119)=0)),字段母版!$A$119,"")</f>
        <v/>
      </c>
      <c r="B1040" s="24" t="str">
        <f>IF(A1040="","",字段母版!$C$119)</f>
        <v/>
      </c>
      <c r="C1040" s="24" t="str">
        <f>IF(A1040="","",字段母版!$G$119)</f>
        <v/>
      </c>
      <c r="D1040" s="24" t="str">
        <f>IF(A1040="","",IF(字段母版!$C$119="Risk","孤立 Risk（ClassificationNA 可为合法信息项）","孤立 Control"))</f>
        <v/>
      </c>
    </row>
    <row r="1041" spans="1:4" ht="45" x14ac:dyDescent="0.25">
      <c r="A1041" s="24" t="str">
        <f>IF(OR(AND(字段母版!$C$120="Risk",COUNTIF('Risk-Control关系'!$B$5:$B$72,字段母版!$A$120)=0),AND(字段母版!$C$120="Control",COUNTIF('Risk-Control关系'!$D$5:$D$72,字段母版!$A$120)=0)),字段母版!$A$120,"")</f>
        <v>P1.RISK.DB.GENERIC.RAITCOR002</v>
      </c>
      <c r="B1041" s="24" t="str">
        <f>IF(A1041="","",字段母版!$C$120)</f>
        <v>Risk</v>
      </c>
      <c r="C1041" s="24" t="str">
        <f>IF(A1041="","",字段母版!$G$120)</f>
        <v>RAITCOR002｜通用数据库 - 通过应用系统层面操作以外的其他方式直接对财务数据进行不适当的更改。</v>
      </c>
      <c r="D1041" s="24" t="str">
        <f>IF(A1041="","",IF(字段母版!$C$120="Risk","孤立 Risk（ClassificationNA 可为合法信息项）","孤立 Control"))</f>
        <v>孤立 Risk（ClassificationNA 可为合法信息项）</v>
      </c>
    </row>
    <row r="1042" spans="1:4" x14ac:dyDescent="0.25">
      <c r="A1042" s="24" t="str">
        <f>IF(OR(AND(字段母版!$C$121="Risk",COUNTIF('Risk-Control关系'!$B$5:$B$72,字段母版!$A$121)=0),AND(字段母版!$C$121="Control",COUNTIF('Risk-Control关系'!$D$5:$D$72,字段母版!$A$121)=0)),字段母版!$A$121,"")</f>
        <v/>
      </c>
      <c r="B1042" s="24" t="str">
        <f>IF(A1042="","",字段母版!$C$121)</f>
        <v/>
      </c>
      <c r="C1042" s="24" t="str">
        <f>IF(A1042="","",字段母版!$G$121)</f>
        <v/>
      </c>
      <c r="D1042" s="24" t="str">
        <f>IF(A1042="","",IF(字段母版!$C$121="Risk","孤立 Risk（ClassificationNA 可为合法信息项）","孤立 Control"))</f>
        <v/>
      </c>
    </row>
    <row r="1043" spans="1:4" x14ac:dyDescent="0.25">
      <c r="A1043" s="24" t="str">
        <f>IF(OR(AND(字段母版!$C$122="Risk",COUNTIF('Risk-Control关系'!$B$5:$B$72,字段母版!$A$122)=0),AND(字段母版!$C$122="Control",COUNTIF('Risk-Control关系'!$D$5:$D$72,字段母版!$A$122)=0)),字段母版!$A$122,"")</f>
        <v/>
      </c>
      <c r="B1043" s="24" t="str">
        <f>IF(A1043="","",字段母版!$C$122)</f>
        <v/>
      </c>
      <c r="C1043" s="24" t="str">
        <f>IF(A1043="","",字段母版!$G$122)</f>
        <v/>
      </c>
      <c r="D1043" s="24" t="str">
        <f>IF(A1043="","",IF(字段母版!$C$122="Risk","孤立 Risk（ClassificationNA 可为合法信息项）","孤立 Control"))</f>
        <v/>
      </c>
    </row>
    <row r="1044" spans="1:4" x14ac:dyDescent="0.25">
      <c r="A1044" s="24" t="str">
        <f>IF(OR(AND(字段母版!$C$123="Risk",COUNTIF('Risk-Control关系'!$B$5:$B$72,字段母版!$A$123)=0),AND(字段母版!$C$123="Control",COUNTIF('Risk-Control关系'!$D$5:$D$72,字段母版!$A$123)=0)),字段母版!$A$123,"")</f>
        <v/>
      </c>
      <c r="B1044" s="24" t="str">
        <f>IF(A1044="","",字段母版!$C$123)</f>
        <v/>
      </c>
      <c r="C1044" s="24" t="str">
        <f>IF(A1044="","",字段母版!$G$123)</f>
        <v/>
      </c>
      <c r="D1044" s="24" t="str">
        <f>IF(A1044="","",IF(字段母版!$C$123="Risk","孤立 Risk（ClassificationNA 可为合法信息项）","孤立 Control"))</f>
        <v/>
      </c>
    </row>
    <row r="1045" spans="1:4" x14ac:dyDescent="0.25">
      <c r="A1045" s="24" t="str">
        <f>IF(OR(AND(字段母版!$C$124="Risk",COUNTIF('Risk-Control关系'!$B$5:$B$72,字段母版!$A$124)=0),AND(字段母版!$C$124="Control",COUNTIF('Risk-Control关系'!$D$5:$D$72,字段母版!$A$124)=0)),字段母版!$A$124,"")</f>
        <v/>
      </c>
      <c r="B1045" s="24" t="str">
        <f>IF(A1045="","",字段母版!$C$124)</f>
        <v/>
      </c>
      <c r="C1045" s="24" t="str">
        <f>IF(A1045="","",字段母版!$G$124)</f>
        <v/>
      </c>
      <c r="D1045" s="24" t="str">
        <f>IF(A1045="","",IF(字段母版!$C$124="Risk","孤立 Risk（ClassificationNA 可为合法信息项）","孤立 Control"))</f>
        <v/>
      </c>
    </row>
    <row r="1046" spans="1:4" x14ac:dyDescent="0.25">
      <c r="A1046" s="24" t="str">
        <f>IF(OR(AND(字段母版!$C$125="Risk",COUNTIF('Risk-Control关系'!$B$5:$B$72,字段母版!$A$125)=0),AND(字段母版!$C$125="Control",COUNTIF('Risk-Control关系'!$D$5:$D$72,字段母版!$A$125)=0)),字段母版!$A$125,"")</f>
        <v/>
      </c>
      <c r="B1046" s="24" t="str">
        <f>IF(A1046="","",字段母版!$C$125)</f>
        <v/>
      </c>
      <c r="C1046" s="24" t="str">
        <f>IF(A1046="","",字段母版!$G$125)</f>
        <v/>
      </c>
      <c r="D1046" s="24" t="str">
        <f>IF(A1046="","",IF(字段母版!$C$125="Risk","孤立 Risk（ClassificationNA 可为合法信息项）","孤立 Control"))</f>
        <v/>
      </c>
    </row>
    <row r="1047" spans="1:4" x14ac:dyDescent="0.25">
      <c r="A1047" s="24" t="str">
        <f>IF(OR(AND(字段母版!$C$126="Risk",COUNTIF('Risk-Control关系'!$B$5:$B$72,字段母版!$A$126)=0),AND(字段母版!$C$126="Control",COUNTIF('Risk-Control关系'!$D$5:$D$72,字段母版!$A$126)=0)),字段母版!$A$126,"")</f>
        <v/>
      </c>
      <c r="B1047" s="24" t="str">
        <f>IF(A1047="","",字段母版!$C$126)</f>
        <v/>
      </c>
      <c r="C1047" s="24" t="str">
        <f>IF(A1047="","",字段母版!$G$126)</f>
        <v/>
      </c>
      <c r="D1047" s="24" t="str">
        <f>IF(A1047="","",IF(字段母版!$C$126="Risk","孤立 Risk（ClassificationNA 可为合法信息项）","孤立 Control"))</f>
        <v/>
      </c>
    </row>
    <row r="1048" spans="1:4" x14ac:dyDescent="0.25">
      <c r="A1048" s="24" t="str">
        <f>IF(OR(AND(字段母版!$C$127="Risk",COUNTIF('Risk-Control关系'!$B$5:$B$72,字段母版!$A$127)=0),AND(字段母版!$C$127="Control",COUNTIF('Risk-Control关系'!$D$5:$D$72,字段母版!$A$127)=0)),字段母版!$A$127,"")</f>
        <v/>
      </c>
      <c r="B1048" s="24" t="str">
        <f>IF(A1048="","",字段母版!$C$127)</f>
        <v/>
      </c>
      <c r="C1048" s="24" t="str">
        <f>IF(A1048="","",字段母版!$G$127)</f>
        <v/>
      </c>
      <c r="D1048" s="24" t="str">
        <f>IF(A1048="","",IF(字段母版!$C$127="Risk","孤立 Risk（ClassificationNA 可为合法信息项）","孤立 Control"))</f>
        <v/>
      </c>
    </row>
    <row r="1049" spans="1:4" x14ac:dyDescent="0.25">
      <c r="A1049" s="24" t="str">
        <f>IF(OR(AND(字段母版!$C$128="Risk",COUNTIF('Risk-Control关系'!$B$5:$B$72,字段母版!$A$128)=0),AND(字段母版!$C$128="Control",COUNTIF('Risk-Control关系'!$D$5:$D$72,字段母版!$A$128)=0)),字段母版!$A$128,"")</f>
        <v/>
      </c>
      <c r="B1049" s="24" t="str">
        <f>IF(A1049="","",字段母版!$C$128)</f>
        <v/>
      </c>
      <c r="C1049" s="24" t="str">
        <f>IF(A1049="","",字段母版!$G$128)</f>
        <v/>
      </c>
      <c r="D1049" s="24" t="str">
        <f>IF(A1049="","",IF(字段母版!$C$128="Risk","孤立 Risk（ClassificationNA 可为合法信息项）","孤立 Control"))</f>
        <v/>
      </c>
    </row>
    <row r="1050" spans="1:4" ht="45" x14ac:dyDescent="0.25">
      <c r="A1050" s="24" t="str">
        <f>IF(OR(AND(字段母版!$C$129="Risk",COUNTIF('Risk-Control关系'!$B$5:$B$72,字段母版!$A$129)=0),AND(字段母版!$C$129="Control",COUNTIF('Risk-Control关系'!$D$5:$D$72,字段母版!$A$129)=0)),字段母版!$A$129,"")</f>
        <v>P1.RISK.DB.GENERIC.RAITCOR007</v>
      </c>
      <c r="B1050" s="24" t="str">
        <f>IF(A1050="","",字段母版!$C$129)</f>
        <v>Risk</v>
      </c>
      <c r="C1050" s="24" t="str">
        <f>IF(A1050="","",字段母版!$G$129)</f>
        <v>RAITCOR007｜通用数据库 - 从旧系统或以前版本转换数据时，因数据不完整、冗余、过时或不准确导致转换错误。</v>
      </c>
      <c r="D1050" s="24" t="str">
        <f>IF(A1050="","",IF(字段母版!$C$129="Risk","孤立 Risk（ClassificationNA 可为合法信息项）","孤立 Control"))</f>
        <v>孤立 Risk（ClassificationNA 可为合法信息项）</v>
      </c>
    </row>
    <row r="1051" spans="1:4" x14ac:dyDescent="0.25">
      <c r="A1051" s="24" t="str">
        <f>IF(OR(AND(字段母版!$C$130="Risk",COUNTIF('Risk-Control关系'!$B$5:$B$72,字段母版!$A$130)=0),AND(字段母版!$C$130="Control",COUNTIF('Risk-Control关系'!$D$5:$D$72,字段母版!$A$130)=0)),字段母版!$A$130,"")</f>
        <v/>
      </c>
      <c r="B1051" s="24" t="str">
        <f>IF(A1051="","",字段母版!$C$130)</f>
        <v/>
      </c>
      <c r="C1051" s="24" t="str">
        <f>IF(A1051="","",字段母版!$G$130)</f>
        <v/>
      </c>
      <c r="D1051" s="24" t="str">
        <f>IF(A1051="","",IF(字段母版!$C$130="Risk","孤立 Risk（ClassificationNA 可为合法信息项）","孤立 Control"))</f>
        <v/>
      </c>
    </row>
    <row r="1052" spans="1:4" x14ac:dyDescent="0.25">
      <c r="A1052" s="24" t="str">
        <f>IF(OR(AND(字段母版!$C$131="Risk",COUNTIF('Risk-Control关系'!$B$5:$B$72,字段母版!$A$131)=0),AND(字段母版!$C$131="Control",COUNTIF('Risk-Control关系'!$D$5:$D$72,字段母版!$A$131)=0)),字段母版!$A$131,"")</f>
        <v/>
      </c>
      <c r="B1052" s="24" t="str">
        <f>IF(A1052="","",字段母版!$C$131)</f>
        <v/>
      </c>
      <c r="C1052" s="24" t="str">
        <f>IF(A1052="","",字段母版!$G$131)</f>
        <v/>
      </c>
      <c r="D1052" s="24" t="str">
        <f>IF(A1052="","",IF(字段母版!$C$131="Risk","孤立 Risk（ClassificationNA 可为合法信息项）","孤立 Control"))</f>
        <v/>
      </c>
    </row>
    <row r="1053" spans="1:4" x14ac:dyDescent="0.25">
      <c r="A1053" s="24" t="str">
        <f>IF(OR(AND(字段母版!$C$132="Risk",COUNTIF('Risk-Control关系'!$B$5:$B$72,字段母版!$A$132)=0),AND(字段母版!$C$132="Control",COUNTIF('Risk-Control关系'!$D$5:$D$72,字段母版!$A$132)=0)),字段母版!$A$132,"")</f>
        <v/>
      </c>
      <c r="B1053" s="24" t="str">
        <f>IF(A1053="","",字段母版!$C$132)</f>
        <v/>
      </c>
      <c r="C1053" s="24" t="str">
        <f>IF(A1053="","",字段母版!$G$132)</f>
        <v/>
      </c>
      <c r="D1053" s="24" t="str">
        <f>IF(A1053="","",IF(字段母版!$C$132="Risk","孤立 Risk（ClassificationNA 可为合法信息项）","孤立 Control"))</f>
        <v/>
      </c>
    </row>
    <row r="1054" spans="1:4" x14ac:dyDescent="0.25">
      <c r="A1054" s="24" t="str">
        <f>IF(OR(AND(字段母版!$C$133="Risk",COUNTIF('Risk-Control关系'!$B$5:$B$72,字段母版!$A$133)=0),AND(字段母版!$C$133="Control",COUNTIF('Risk-Control关系'!$D$5:$D$72,字段母版!$A$133)=0)),字段母版!$A$133,"")</f>
        <v/>
      </c>
      <c r="B1054" s="24" t="str">
        <f>IF(A1054="","",字段母版!$C$133)</f>
        <v/>
      </c>
      <c r="C1054" s="24" t="str">
        <f>IF(A1054="","",字段母版!$G$133)</f>
        <v/>
      </c>
      <c r="D1054" s="24" t="str">
        <f>IF(A1054="","",IF(字段母版!$C$133="Risk","孤立 Risk（ClassificationNA 可为合法信息项）","孤立 Control"))</f>
        <v/>
      </c>
    </row>
    <row r="1055" spans="1:4" x14ac:dyDescent="0.25">
      <c r="A1055" s="24" t="str">
        <f>IF(OR(AND(字段母版!$C$134="Risk",COUNTIF('Risk-Control关系'!$B$5:$B$72,字段母版!$A$134)=0),AND(字段母版!$C$134="Control",COUNTIF('Risk-Control关系'!$D$5:$D$72,字段母版!$A$134)=0)),字段母版!$A$134,"")</f>
        <v/>
      </c>
      <c r="B1055" s="24" t="str">
        <f>IF(A1055="","",字段母版!$C$134)</f>
        <v/>
      </c>
      <c r="C1055" s="24" t="str">
        <f>IF(A1055="","",字段母版!$G$134)</f>
        <v/>
      </c>
      <c r="D1055" s="24" t="str">
        <f>IF(A1055="","",IF(字段母版!$C$134="Risk","孤立 Risk（ClassificationNA 可为合法信息项）","孤立 Control"))</f>
        <v/>
      </c>
    </row>
    <row r="1056" spans="1:4" x14ac:dyDescent="0.25">
      <c r="A1056" s="24" t="str">
        <f>IF(OR(AND(字段母版!$C$135="Risk",COUNTIF('Risk-Control关系'!$B$5:$B$72,字段母版!$A$135)=0),AND(字段母版!$C$135="Control",COUNTIF('Risk-Control关系'!$D$5:$D$72,字段母版!$A$135)=0)),字段母版!$A$135,"")</f>
        <v/>
      </c>
      <c r="B1056" s="24" t="str">
        <f>IF(A1056="","",字段母版!$C$135)</f>
        <v/>
      </c>
      <c r="C1056" s="24" t="str">
        <f>IF(A1056="","",字段母版!$G$135)</f>
        <v/>
      </c>
      <c r="D1056" s="24" t="str">
        <f>IF(A1056="","",IF(字段母版!$C$135="Risk","孤立 Risk（ClassificationNA 可为合法信息项）","孤立 Control"))</f>
        <v/>
      </c>
    </row>
    <row r="1057" spans="1:4" x14ac:dyDescent="0.25">
      <c r="A1057" s="24" t="str">
        <f>IF(OR(AND(字段母版!$C$136="Risk",COUNTIF('Risk-Control关系'!$B$5:$B$72,字段母版!$A$136)=0),AND(字段母版!$C$136="Control",COUNTIF('Risk-Control关系'!$D$5:$D$72,字段母版!$A$136)=0)),字段母版!$A$136,"")</f>
        <v/>
      </c>
      <c r="B1057" s="24" t="str">
        <f>IF(A1057="","",字段母版!$C$136)</f>
        <v/>
      </c>
      <c r="C1057" s="24" t="str">
        <f>IF(A1057="","",字段母版!$G$136)</f>
        <v/>
      </c>
      <c r="D1057" s="24" t="str">
        <f>IF(A1057="","",IF(字段母版!$C$136="Risk","孤立 Risk（ClassificationNA 可为合法信息项）","孤立 Control"))</f>
        <v/>
      </c>
    </row>
    <row r="1058" spans="1:4" x14ac:dyDescent="0.25">
      <c r="A1058" s="24" t="str">
        <f>IF(OR(AND(字段母版!$C$137="Risk",COUNTIF('Risk-Control关系'!$B$5:$B$72,字段母版!$A$137)=0),AND(字段母版!$C$137="Control",COUNTIF('Risk-Control关系'!$D$5:$D$72,字段母版!$A$137)=0)),字段母版!$A$137,"")</f>
        <v/>
      </c>
      <c r="B1058" s="24" t="str">
        <f>IF(A1058="","",字段母版!$C$137)</f>
        <v/>
      </c>
      <c r="C1058" s="24" t="str">
        <f>IF(A1058="","",字段母版!$G$137)</f>
        <v/>
      </c>
      <c r="D1058" s="24" t="str">
        <f>IF(A1058="","",IF(字段母版!$C$137="Risk","孤立 Risk（ClassificationNA 可为合法信息项）","孤立 Control"))</f>
        <v/>
      </c>
    </row>
    <row r="1059" spans="1:4" x14ac:dyDescent="0.25">
      <c r="A1059" s="24" t="str">
        <f>IF(OR(AND(字段母版!$C$138="Risk",COUNTIF('Risk-Control关系'!$B$5:$B$72,字段母版!$A$138)=0),AND(字段母版!$C$138="Control",COUNTIF('Risk-Control关系'!$D$5:$D$72,字段母版!$A$138)=0)),字段母版!$A$138,"")</f>
        <v/>
      </c>
      <c r="B1059" s="24" t="str">
        <f>IF(A1059="","",字段母版!$C$138)</f>
        <v/>
      </c>
      <c r="C1059" s="24" t="str">
        <f>IF(A1059="","",字段母版!$G$138)</f>
        <v/>
      </c>
      <c r="D1059" s="24" t="str">
        <f>IF(A1059="","",IF(字段母版!$C$138="Risk","孤立 Risk（ClassificationNA 可为合法信息项）","孤立 Control"))</f>
        <v/>
      </c>
    </row>
    <row r="1060" spans="1:4" ht="45" x14ac:dyDescent="0.25">
      <c r="A1060" s="24" t="str">
        <f>IF(OR(AND(字段母版!$C$139="Risk",COUNTIF('Risk-Control关系'!$B$5:$B$72,字段母版!$A$139)=0),AND(字段母版!$C$139="Control",COUNTIF('Risk-Control关系'!$D$5:$D$72,字段母版!$A$139)=0)),字段母版!$A$139,"")</f>
        <v>P1.RISK.DB.ORACLE.RAITCOR007</v>
      </c>
      <c r="B1060" s="24" t="str">
        <f>IF(A1060="","",字段母版!$C$139)</f>
        <v>Risk</v>
      </c>
      <c r="C1060" s="24" t="str">
        <f>IF(A1060="","",字段母版!$G$139)</f>
        <v>RAITCOR007｜Oracle数据库 - 从旧系统或以前版本转换数据时，因数据不完整、冗余、过时或不准确导致转换错误。</v>
      </c>
      <c r="D1060" s="24" t="str">
        <f>IF(A1060="","",IF(字段母版!$C$139="Risk","孤立 Risk（ClassificationNA 可为合法信息项）","孤立 Control"))</f>
        <v>孤立 Risk（ClassificationNA 可为合法信息项）</v>
      </c>
    </row>
    <row r="1061" spans="1:4" x14ac:dyDescent="0.25">
      <c r="A1061" s="24" t="str">
        <f>IF(OR(AND(字段母版!$C$140="Risk",COUNTIF('Risk-Control关系'!$B$5:$B$72,字段母版!$A$140)=0),AND(字段母版!$C$140="Control",COUNTIF('Risk-Control关系'!$D$5:$D$72,字段母版!$A$140)=0)),字段母版!$A$140,"")</f>
        <v/>
      </c>
      <c r="B1061" s="24" t="str">
        <f>IF(A1061="","",字段母版!$C$140)</f>
        <v/>
      </c>
      <c r="C1061" s="24" t="str">
        <f>IF(A1061="","",字段母版!$G$140)</f>
        <v/>
      </c>
      <c r="D1061" s="24" t="str">
        <f>IF(A1061="","",IF(字段母版!$C$140="Risk","孤立 Risk（ClassificationNA 可为合法信息项）","孤立 Control"))</f>
        <v/>
      </c>
    </row>
    <row r="1062" spans="1:4" x14ac:dyDescent="0.25">
      <c r="A1062" s="24" t="str">
        <f>IF(OR(AND(字段母版!$C$141="Risk",COUNTIF('Risk-Control关系'!$B$5:$B$72,字段母版!$A$141)=0),AND(字段母版!$C$141="Control",COUNTIF('Risk-Control关系'!$D$5:$D$72,字段母版!$A$141)=0)),字段母版!$A$141,"")</f>
        <v/>
      </c>
      <c r="B1062" s="24" t="str">
        <f>IF(A1062="","",字段母版!$C$141)</f>
        <v/>
      </c>
      <c r="C1062" s="24" t="str">
        <f>IF(A1062="","",字段母版!$G$141)</f>
        <v/>
      </c>
      <c r="D1062" s="24" t="str">
        <f>IF(A1062="","",IF(字段母版!$C$141="Risk","孤立 Risk（ClassificationNA 可为合法信息项）","孤立 Control"))</f>
        <v/>
      </c>
    </row>
    <row r="1063" spans="1:4" x14ac:dyDescent="0.25">
      <c r="A1063" s="24" t="str">
        <f>IF(OR(AND(字段母版!$C$142="Risk",COUNTIF('Risk-Control关系'!$B$5:$B$72,字段母版!$A$142)=0),AND(字段母版!$C$142="Control",COUNTIF('Risk-Control关系'!$D$5:$D$72,字段母版!$A$142)=0)),字段母版!$A$142,"")</f>
        <v/>
      </c>
      <c r="B1063" s="24" t="str">
        <f>IF(A1063="","",字段母版!$C$142)</f>
        <v/>
      </c>
      <c r="C1063" s="24" t="str">
        <f>IF(A1063="","",字段母版!$G$142)</f>
        <v/>
      </c>
      <c r="D1063" s="24" t="str">
        <f>IF(A1063="","",IF(字段母版!$C$142="Risk","孤立 Risk（ClassificationNA 可为合法信息项）","孤立 Control"))</f>
        <v/>
      </c>
    </row>
    <row r="1064" spans="1:4" x14ac:dyDescent="0.25">
      <c r="A1064" s="24" t="str">
        <f>IF(OR(AND(字段母版!$C$143="Risk",COUNTIF('Risk-Control关系'!$B$5:$B$72,字段母版!$A$143)=0),AND(字段母版!$C$143="Control",COUNTIF('Risk-Control关系'!$D$5:$D$72,字段母版!$A$143)=0)),字段母版!$A$143,"")</f>
        <v/>
      </c>
      <c r="B1064" s="24" t="str">
        <f>IF(A1064="","",字段母版!$C$143)</f>
        <v/>
      </c>
      <c r="C1064" s="24" t="str">
        <f>IF(A1064="","",字段母版!$G$143)</f>
        <v/>
      </c>
      <c r="D1064" s="24" t="str">
        <f>IF(A1064="","",IF(字段母版!$C$143="Risk","孤立 Risk（ClassificationNA 可为合法信息项）","孤立 Control"))</f>
        <v/>
      </c>
    </row>
    <row r="1065" spans="1:4" x14ac:dyDescent="0.25">
      <c r="A1065" s="24" t="str">
        <f>IF(OR(AND(字段母版!$C$144="Risk",COUNTIF('Risk-Control关系'!$B$5:$B$72,字段母版!$A$144)=0),AND(字段母版!$C$144="Control",COUNTIF('Risk-Control关系'!$D$5:$D$72,字段母版!$A$144)=0)),字段母版!$A$144,"")</f>
        <v/>
      </c>
      <c r="B1065" s="24" t="str">
        <f>IF(A1065="","",字段母版!$C$144)</f>
        <v/>
      </c>
      <c r="C1065" s="24" t="str">
        <f>IF(A1065="","",字段母版!$G$144)</f>
        <v/>
      </c>
      <c r="D1065" s="24" t="str">
        <f>IF(A1065="","",IF(字段母版!$C$144="Risk","孤立 Risk（ClassificationNA 可为合法信息项）","孤立 Control"))</f>
        <v/>
      </c>
    </row>
    <row r="1066" spans="1:4" x14ac:dyDescent="0.25">
      <c r="A1066" s="24" t="str">
        <f>IF(OR(AND(字段母版!$C$145="Risk",COUNTIF('Risk-Control关系'!$B$5:$B$72,字段母版!$A$145)=0),AND(字段母版!$C$145="Control",COUNTIF('Risk-Control关系'!$D$5:$D$72,字段母版!$A$145)=0)),字段母版!$A$145,"")</f>
        <v/>
      </c>
      <c r="B1066" s="24" t="str">
        <f>IF(A1066="","",字段母版!$C$145)</f>
        <v/>
      </c>
      <c r="C1066" s="24" t="str">
        <f>IF(A1066="","",字段母版!$G$145)</f>
        <v/>
      </c>
      <c r="D1066" s="24" t="str">
        <f>IF(A1066="","",IF(字段母版!$C$145="Risk","孤立 Risk（ClassificationNA 可为合法信息项）","孤立 Control"))</f>
        <v/>
      </c>
    </row>
    <row r="1067" spans="1:4" x14ac:dyDescent="0.25">
      <c r="A1067" s="24" t="str">
        <f>IF(OR(AND(字段母版!$C$146="Risk",COUNTIF('Risk-Control关系'!$B$5:$B$72,字段母版!$A$146)=0),AND(字段母版!$C$146="Control",COUNTIF('Risk-Control关系'!$D$5:$D$72,字段母版!$A$146)=0)),字段母版!$A$146,"")</f>
        <v/>
      </c>
      <c r="B1067" s="24" t="str">
        <f>IF(A1067="","",字段母版!$C$146)</f>
        <v/>
      </c>
      <c r="C1067" s="24" t="str">
        <f>IF(A1067="","",字段母版!$G$146)</f>
        <v/>
      </c>
      <c r="D1067" s="24" t="str">
        <f>IF(A1067="","",IF(字段母版!$C$146="Risk","孤立 Risk（ClassificationNA 可为合法信息项）","孤立 Control"))</f>
        <v/>
      </c>
    </row>
    <row r="1068" spans="1:4" x14ac:dyDescent="0.25">
      <c r="A1068" s="24" t="str">
        <f>IF(OR(AND(字段母版!$C$147="Risk",COUNTIF('Risk-Control关系'!$B$5:$B$72,字段母版!$A$147)=0),AND(字段母版!$C$147="Control",COUNTIF('Risk-Control关系'!$D$5:$D$72,字段母版!$A$147)=0)),字段母版!$A$147,"")</f>
        <v/>
      </c>
      <c r="B1068" s="24" t="str">
        <f>IF(A1068="","",字段母版!$C$147)</f>
        <v/>
      </c>
      <c r="C1068" s="24" t="str">
        <f>IF(A1068="","",字段母版!$G$147)</f>
        <v/>
      </c>
      <c r="D1068" s="24" t="str">
        <f>IF(A1068="","",IF(字段母版!$C$147="Risk","孤立 Risk（ClassificationNA 可为合法信息项）","孤立 Control"))</f>
        <v/>
      </c>
    </row>
    <row r="1069" spans="1:4" x14ac:dyDescent="0.25">
      <c r="A1069" s="24" t="str">
        <f>IF(OR(AND(字段母版!$C$148="Risk",COUNTIF('Risk-Control关系'!$B$5:$B$72,字段母版!$A$148)=0),AND(字段母版!$C$148="Control",COUNTIF('Risk-Control关系'!$D$5:$D$72,字段母版!$A$148)=0)),字段母版!$A$148,"")</f>
        <v/>
      </c>
      <c r="B1069" s="24" t="str">
        <f>IF(A1069="","",字段母版!$C$148)</f>
        <v/>
      </c>
      <c r="C1069" s="24" t="str">
        <f>IF(A1069="","",字段母版!$G$148)</f>
        <v/>
      </c>
      <c r="D1069" s="24" t="str">
        <f>IF(A1069="","",IF(字段母版!$C$148="Risk","孤立 Risk（ClassificationNA 可为合法信息项）","孤立 Control"))</f>
        <v/>
      </c>
    </row>
    <row r="1070" spans="1:4" ht="45" x14ac:dyDescent="0.25">
      <c r="A1070" s="24" t="str">
        <f>IF(OR(AND(字段母版!$C$149="Risk",COUNTIF('Risk-Control关系'!$B$5:$B$72,字段母版!$A$149)=0),AND(字段母版!$C$149="Control",COUNTIF('Risk-Control关系'!$D$5:$D$72,字段母版!$A$149)=0)),字段母版!$A$149,"")</f>
        <v>P1.RISK.DB.SQL.RAITCOR007</v>
      </c>
      <c r="B1070" s="24" t="str">
        <f>IF(A1070="","",字段母版!$C$149)</f>
        <v>Risk</v>
      </c>
      <c r="C1070" s="24" t="str">
        <f>IF(A1070="","",字段母版!$G$149)</f>
        <v>RAITCOR007｜SQL Server数据库 - 从旧系统或以前版本转换数据时，因数据不完整、冗余、过时或不准确导致转换错误。</v>
      </c>
      <c r="D1070" s="24" t="str">
        <f>IF(A1070="","",IF(字段母版!$C$149="Risk","孤立 Risk（ClassificationNA 可为合法信息项）","孤立 Control"))</f>
        <v>孤立 Risk（ClassificationNA 可为合法信息项）</v>
      </c>
    </row>
    <row r="1071" spans="1:4" x14ac:dyDescent="0.25">
      <c r="A1071" s="24" t="str">
        <f>IF(OR(AND(字段母版!$C$150="Risk",COUNTIF('Risk-Control关系'!$B$5:$B$72,字段母版!$A$150)=0),AND(字段母版!$C$150="Control",COUNTIF('Risk-Control关系'!$D$5:$D$72,字段母版!$A$150)=0)),字段母版!$A$150,"")</f>
        <v/>
      </c>
      <c r="B1071" s="24" t="str">
        <f>IF(A1071="","",字段母版!$C$150)</f>
        <v/>
      </c>
      <c r="C1071" s="24" t="str">
        <f>IF(A1071="","",字段母版!$G$150)</f>
        <v/>
      </c>
      <c r="D1071" s="24" t="str">
        <f>IF(A1071="","",IF(字段母版!$C$150="Risk","孤立 Risk（ClassificationNA 可为合法信息项）","孤立 Control"))</f>
        <v/>
      </c>
    </row>
    <row r="1072" spans="1:4" x14ac:dyDescent="0.25">
      <c r="A1072" s="24" t="str">
        <f>IF(OR(AND(字段母版!$C$151="Risk",COUNTIF('Risk-Control关系'!$B$5:$B$72,字段母版!$A$151)=0),AND(字段母版!$C$151="Control",COUNTIF('Risk-Control关系'!$D$5:$D$72,字段母版!$A$151)=0)),字段母版!$A$151,"")</f>
        <v/>
      </c>
      <c r="B1072" s="24" t="str">
        <f>IF(A1072="","",字段母版!$C$151)</f>
        <v/>
      </c>
      <c r="C1072" s="24" t="str">
        <f>IF(A1072="","",字段母版!$G$151)</f>
        <v/>
      </c>
      <c r="D1072" s="24" t="str">
        <f>IF(A1072="","",IF(字段母版!$C$151="Risk","孤立 Risk（ClassificationNA 可为合法信息项）","孤立 Control"))</f>
        <v/>
      </c>
    </row>
    <row r="1073" spans="1:4" x14ac:dyDescent="0.25">
      <c r="A1073" s="24" t="str">
        <f>IF(OR(AND(字段母版!$C$152="Risk",COUNTIF('Risk-Control关系'!$B$5:$B$72,字段母版!$A$152)=0),AND(字段母版!$C$152="Control",COUNTIF('Risk-Control关系'!$D$5:$D$72,字段母版!$A$152)=0)),字段母版!$A$152,"")</f>
        <v/>
      </c>
      <c r="B1073" s="24" t="str">
        <f>IF(A1073="","",字段母版!$C$152)</f>
        <v/>
      </c>
      <c r="C1073" s="24" t="str">
        <f>IF(A1073="","",字段母版!$G$152)</f>
        <v/>
      </c>
      <c r="D1073" s="24" t="str">
        <f>IF(A1073="","",IF(字段母版!$C$152="Risk","孤立 Risk（ClassificationNA 可为合法信息项）","孤立 Control"))</f>
        <v/>
      </c>
    </row>
    <row r="1074" spans="1:4" x14ac:dyDescent="0.25">
      <c r="A1074" s="24" t="str">
        <f>IF(OR(AND(字段母版!$C$153="Risk",COUNTIF('Risk-Control关系'!$B$5:$B$72,字段母版!$A$153)=0),AND(字段母版!$C$153="Control",COUNTIF('Risk-Control关系'!$D$5:$D$72,字段母版!$A$153)=0)),字段母版!$A$153,"")</f>
        <v/>
      </c>
      <c r="B1074" s="24" t="str">
        <f>IF(A1074="","",字段母版!$C$153)</f>
        <v/>
      </c>
      <c r="C1074" s="24" t="str">
        <f>IF(A1074="","",字段母版!$G$153)</f>
        <v/>
      </c>
      <c r="D1074" s="24" t="str">
        <f>IF(A1074="","",IF(字段母版!$C$153="Risk","孤立 Risk（ClassificationNA 可为合法信息项）","孤立 Control"))</f>
        <v/>
      </c>
    </row>
    <row r="1075" spans="1:4" x14ac:dyDescent="0.25">
      <c r="A1075" s="24" t="str">
        <f>IF(OR(AND(字段母版!$C$154="Risk",COUNTIF('Risk-Control关系'!$B$5:$B$72,字段母版!$A$154)=0),AND(字段母版!$C$154="Control",COUNTIF('Risk-Control关系'!$D$5:$D$72,字段母版!$A$154)=0)),字段母版!$A$154,"")</f>
        <v/>
      </c>
      <c r="B1075" s="24" t="str">
        <f>IF(A1075="","",字段母版!$C$154)</f>
        <v/>
      </c>
      <c r="C1075" s="24" t="str">
        <f>IF(A1075="","",字段母版!$G$154)</f>
        <v/>
      </c>
      <c r="D1075" s="24" t="str">
        <f>IF(A1075="","",IF(字段母版!$C$154="Risk","孤立 Risk（ClassificationNA 可为合法信息项）","孤立 Control"))</f>
        <v/>
      </c>
    </row>
    <row r="1076" spans="1:4" x14ac:dyDescent="0.25">
      <c r="A1076" s="24" t="str">
        <f>IF(OR(AND(字段母版!$C$155="Risk",COUNTIF('Risk-Control关系'!$B$5:$B$72,字段母版!$A$155)=0),AND(字段母版!$C$155="Control",COUNTIF('Risk-Control关系'!$D$5:$D$72,字段母版!$A$155)=0)),字段母版!$A$155,"")</f>
        <v/>
      </c>
      <c r="B1076" s="24" t="str">
        <f>IF(A1076="","",字段母版!$C$155)</f>
        <v/>
      </c>
      <c r="C1076" s="24" t="str">
        <f>IF(A1076="","",字段母版!$G$155)</f>
        <v/>
      </c>
      <c r="D1076" s="24" t="str">
        <f>IF(A1076="","",IF(字段母版!$C$155="Risk","孤立 Risk（ClassificationNA 可为合法信息项）","孤立 Control"))</f>
        <v/>
      </c>
    </row>
    <row r="1077" spans="1:4" x14ac:dyDescent="0.25">
      <c r="A1077" s="24" t="str">
        <f>IF(OR(AND(字段母版!$C$156="Risk",COUNTIF('Risk-Control关系'!$B$5:$B$72,字段母版!$A$156)=0),AND(字段母版!$C$156="Control",COUNTIF('Risk-Control关系'!$D$5:$D$72,字段母版!$A$156)=0)),字段母版!$A$156,"")</f>
        <v/>
      </c>
      <c r="B1077" s="24" t="str">
        <f>IF(A1077="","",字段母版!$C$156)</f>
        <v/>
      </c>
      <c r="C1077" s="24" t="str">
        <f>IF(A1077="","",字段母版!$G$156)</f>
        <v/>
      </c>
      <c r="D1077" s="24" t="str">
        <f>IF(A1077="","",IF(字段母版!$C$156="Risk","孤立 Risk（ClassificationNA 可为合法信息项）","孤立 Control"))</f>
        <v/>
      </c>
    </row>
    <row r="1078" spans="1:4" x14ac:dyDescent="0.25">
      <c r="A1078" s="24" t="str">
        <f>IF(OR(AND(字段母版!$C$157="Risk",COUNTIF('Risk-Control关系'!$B$5:$B$72,字段母版!$A$157)=0),AND(字段母版!$C$157="Control",COUNTIF('Risk-Control关系'!$D$5:$D$72,字段母版!$A$157)=0)),字段母版!$A$157,"")</f>
        <v/>
      </c>
      <c r="B1078" s="24" t="str">
        <f>IF(A1078="","",字段母版!$C$157)</f>
        <v/>
      </c>
      <c r="C1078" s="24" t="str">
        <f>IF(A1078="","",字段母版!$G$157)</f>
        <v/>
      </c>
      <c r="D1078" s="24" t="str">
        <f>IF(A1078="","",IF(字段母版!$C$157="Risk","孤立 Risk（ClassificationNA 可为合法信息项）","孤立 Control"))</f>
        <v/>
      </c>
    </row>
    <row r="1079" spans="1:4" x14ac:dyDescent="0.25">
      <c r="A1079" s="24" t="str">
        <f>IF(OR(AND(字段母版!$C$158="Risk",COUNTIF('Risk-Control关系'!$B$5:$B$72,字段母版!$A$158)=0),AND(字段母版!$C$158="Control",COUNTIF('Risk-Control关系'!$D$5:$D$72,字段母版!$A$158)=0)),字段母版!$A$158,"")</f>
        <v/>
      </c>
      <c r="B1079" s="24" t="str">
        <f>IF(A1079="","",字段母版!$C$158)</f>
        <v/>
      </c>
      <c r="C1079" s="24" t="str">
        <f>IF(A1079="","",字段母版!$G$158)</f>
        <v/>
      </c>
      <c r="D1079" s="24" t="str">
        <f>IF(A1079="","",IF(字段母版!$C$158="Risk","孤立 Risk（ClassificationNA 可为合法信息项）","孤立 Control"))</f>
        <v/>
      </c>
    </row>
    <row r="1080" spans="1:4" x14ac:dyDescent="0.25">
      <c r="A1080" s="24" t="str">
        <f>IF(OR(AND(字段母版!$C$159="Risk",COUNTIF('Risk-Control关系'!$B$5:$B$72,字段母版!$A$159)=0),AND(字段母版!$C$159="Control",COUNTIF('Risk-Control关系'!$D$5:$D$72,字段母版!$A$159)=0)),字段母版!$A$159,"")</f>
        <v/>
      </c>
      <c r="B1080" s="24" t="str">
        <f>IF(A1080="","",字段母版!$C$159)</f>
        <v/>
      </c>
      <c r="C1080" s="24" t="str">
        <f>IF(A1080="","",字段母版!$G$159)</f>
        <v/>
      </c>
      <c r="D1080" s="24" t="str">
        <f>IF(A1080="","",IF(字段母版!$C$159="Risk","孤立 Risk（ClassificationNA 可为合法信息项）","孤立 Control"))</f>
        <v/>
      </c>
    </row>
    <row r="1081" spans="1:4" x14ac:dyDescent="0.25">
      <c r="A1081" s="24" t="str">
        <f>IF(OR(AND(字段母版!$C$160="Risk",COUNTIF('Risk-Control关系'!$B$5:$B$72,字段母版!$A$160)=0),AND(字段母版!$C$160="Control",COUNTIF('Risk-Control关系'!$D$5:$D$72,字段母版!$A$160)=0)),字段母版!$A$160,"")</f>
        <v/>
      </c>
      <c r="B1081" s="24" t="str">
        <f>IF(A1081="","",字段母版!$C$160)</f>
        <v/>
      </c>
      <c r="C1081" s="24" t="str">
        <f>IF(A1081="","",字段母版!$G$160)</f>
        <v/>
      </c>
      <c r="D1081" s="24" t="str">
        <f>IF(A1081="","",IF(字段母版!$C$160="Risk","孤立 Risk（ClassificationNA 可为合法信息项）","孤立 Control"))</f>
        <v/>
      </c>
    </row>
    <row r="1082" spans="1:4" x14ac:dyDescent="0.25">
      <c r="A1082" s="24" t="str">
        <f>IF(OR(AND(字段母版!$C$161="Risk",COUNTIF('Risk-Control关系'!$B$5:$B$72,字段母版!$A$161)=0),AND(字段母版!$C$161="Control",COUNTIF('Risk-Control关系'!$D$5:$D$72,字段母版!$A$161)=0)),字段母版!$A$161,"")</f>
        <v/>
      </c>
      <c r="B1082" s="24" t="str">
        <f>IF(A1082="","",字段母版!$C$161)</f>
        <v/>
      </c>
      <c r="C1082" s="24" t="str">
        <f>IF(A1082="","",字段母版!$G$161)</f>
        <v/>
      </c>
      <c r="D1082" s="24" t="str">
        <f>IF(A1082="","",IF(字段母版!$C$161="Risk","孤立 Risk（ClassificationNA 可为合法信息项）","孤立 Control"))</f>
        <v/>
      </c>
    </row>
    <row r="1083" spans="1:4" x14ac:dyDescent="0.25">
      <c r="A1083" s="24" t="str">
        <f>IF(OR(AND(字段母版!$C$162="Risk",COUNTIF('Risk-Control关系'!$B$5:$B$72,字段母版!$A$162)=0),AND(字段母版!$C$162="Control",COUNTIF('Risk-Control关系'!$D$5:$D$72,字段母版!$A$162)=0)),字段母版!$A$162,"")</f>
        <v/>
      </c>
      <c r="B1083" s="24" t="str">
        <f>IF(A1083="","",字段母版!$C$162)</f>
        <v/>
      </c>
      <c r="C1083" s="24" t="str">
        <f>IF(A1083="","",字段母版!$G$162)</f>
        <v/>
      </c>
      <c r="D1083" s="24" t="str">
        <f>IF(A1083="","",IF(字段母版!$C$162="Risk","孤立 Risk（ClassificationNA 可为合法信息项）","孤立 Control"))</f>
        <v/>
      </c>
    </row>
    <row r="1084" spans="1:4" x14ac:dyDescent="0.25">
      <c r="A1084" s="24" t="str">
        <f>IF(OR(AND(字段母版!$C$163="Risk",COUNTIF('Risk-Control关系'!$B$5:$B$72,字段母版!$A$163)=0),AND(字段母版!$C$163="Control",COUNTIF('Risk-Control关系'!$D$5:$D$72,字段母版!$A$163)=0)),字段母版!$A$163,"")</f>
        <v/>
      </c>
      <c r="B1084" s="24" t="str">
        <f>IF(A1084="","",字段母版!$C$163)</f>
        <v/>
      </c>
      <c r="C1084" s="24" t="str">
        <f>IF(A1084="","",字段母版!$G$163)</f>
        <v/>
      </c>
      <c r="D1084" s="24" t="str">
        <f>IF(A1084="","",IF(字段母版!$C$163="Risk","孤立 Risk（ClassificationNA 可为合法信息项）","孤立 Control"))</f>
        <v/>
      </c>
    </row>
    <row r="1085" spans="1:4" x14ac:dyDescent="0.25">
      <c r="A1085" s="24" t="str">
        <f>IF(OR(AND(字段母版!$C$164="Risk",COUNTIF('Risk-Control关系'!$B$5:$B$72,字段母版!$A$164)=0),AND(字段母版!$C$164="Control",COUNTIF('Risk-Control关系'!$D$5:$D$72,字段母版!$A$164)=0)),字段母版!$A$164,"")</f>
        <v/>
      </c>
      <c r="B1085" s="24" t="str">
        <f>IF(A1085="","",字段母版!$C$164)</f>
        <v/>
      </c>
      <c r="C1085" s="24" t="str">
        <f>IF(A1085="","",字段母版!$G$164)</f>
        <v/>
      </c>
      <c r="D1085" s="24" t="str">
        <f>IF(A1085="","",IF(字段母版!$C$164="Risk","孤立 Risk（ClassificationNA 可为合法信息项）","孤立 Control"))</f>
        <v/>
      </c>
    </row>
    <row r="1086" spans="1:4" x14ac:dyDescent="0.25">
      <c r="A1086" s="24" t="str">
        <f>IF(OR(AND(字段母版!$C$165="Risk",COUNTIF('Risk-Control关系'!$B$5:$B$72,字段母版!$A$165)=0),AND(字段母版!$C$165="Control",COUNTIF('Risk-Control关系'!$D$5:$D$72,字段母版!$A$165)=0)),字段母版!$A$165,"")</f>
        <v/>
      </c>
      <c r="B1086" s="24" t="str">
        <f>IF(A1086="","",字段母版!$C$165)</f>
        <v/>
      </c>
      <c r="C1086" s="24" t="str">
        <f>IF(A1086="","",字段母版!$G$165)</f>
        <v/>
      </c>
      <c r="D1086" s="24" t="str">
        <f>IF(A1086="","",IF(字段母版!$C$165="Risk","孤立 Risk（ClassificationNA 可为合法信息项）","孤立 Control"))</f>
        <v/>
      </c>
    </row>
    <row r="1087" spans="1:4" x14ac:dyDescent="0.25">
      <c r="A1087" s="24" t="str">
        <f>IF(OR(AND(字段母版!$C$166="Risk",COUNTIF('Risk-Control关系'!$B$5:$B$72,字段母版!$A$166)=0),AND(字段母版!$C$166="Control",COUNTIF('Risk-Control关系'!$D$5:$D$72,字段母版!$A$166)=0)),字段母版!$A$166,"")</f>
        <v/>
      </c>
      <c r="B1087" s="24" t="str">
        <f>IF(A1087="","",字段母版!$C$166)</f>
        <v/>
      </c>
      <c r="C1087" s="24" t="str">
        <f>IF(A1087="","",字段母版!$G$166)</f>
        <v/>
      </c>
      <c r="D1087" s="24" t="str">
        <f>IF(A1087="","",IF(字段母版!$C$166="Risk","孤立 Risk（ClassificationNA 可为合法信息项）","孤立 Control"))</f>
        <v/>
      </c>
    </row>
    <row r="1088" spans="1:4" x14ac:dyDescent="0.25">
      <c r="A1088" s="24" t="str">
        <f>IF(OR(AND(字段母版!$C$167="Risk",COUNTIF('Risk-Control关系'!$B$5:$B$72,字段母版!$A$167)=0),AND(字段母版!$C$167="Control",COUNTIF('Risk-Control关系'!$D$5:$D$72,字段母版!$A$167)=0)),字段母版!$A$167,"")</f>
        <v/>
      </c>
      <c r="B1088" s="24" t="str">
        <f>IF(A1088="","",字段母版!$C$167)</f>
        <v/>
      </c>
      <c r="C1088" s="24" t="str">
        <f>IF(A1088="","",字段母版!$G$167)</f>
        <v/>
      </c>
      <c r="D1088" s="24" t="str">
        <f>IF(A1088="","",IF(字段母版!$C$167="Risk","孤立 Risk（ClassificationNA 可为合法信息项）","孤立 Control"))</f>
        <v/>
      </c>
    </row>
    <row r="1089" spans="1:4" x14ac:dyDescent="0.25">
      <c r="A1089" s="24" t="str">
        <f>IF(OR(AND(字段母版!$C$168="Risk",COUNTIF('Risk-Control关系'!$B$5:$B$72,字段母版!$A$168)=0),AND(字段母版!$C$168="Control",COUNTIF('Risk-Control关系'!$D$5:$D$72,字段母版!$A$168)=0)),字段母版!$A$168,"")</f>
        <v/>
      </c>
      <c r="B1089" s="24" t="str">
        <f>IF(A1089="","",字段母版!$C$168)</f>
        <v/>
      </c>
      <c r="C1089" s="24" t="str">
        <f>IF(A1089="","",字段母版!$G$168)</f>
        <v/>
      </c>
      <c r="D1089" s="24" t="str">
        <f>IF(A1089="","",IF(字段母版!$C$168="Risk","孤立 Risk（ClassificationNA 可为合法信息项）","孤立 Control"))</f>
        <v/>
      </c>
    </row>
    <row r="1090" spans="1:4" x14ac:dyDescent="0.25">
      <c r="A1090" s="24" t="str">
        <f>IF(OR(AND(字段母版!$C$169="Risk",COUNTIF('Risk-Control关系'!$B$5:$B$72,字段母版!$A$169)=0),AND(字段母版!$C$169="Control",COUNTIF('Risk-Control关系'!$D$5:$D$72,字段母版!$A$169)=0)),字段母版!$A$169,"")</f>
        <v/>
      </c>
      <c r="B1090" s="24" t="str">
        <f>IF(A1090="","",字段母版!$C$169)</f>
        <v/>
      </c>
      <c r="C1090" s="24" t="str">
        <f>IF(A1090="","",字段母版!$G$169)</f>
        <v/>
      </c>
      <c r="D1090" s="24" t="str">
        <f>IF(A1090="","",IF(字段母版!$C$169="Risk","孤立 Risk（ClassificationNA 可为合法信息项）","孤立 Control"))</f>
        <v/>
      </c>
    </row>
    <row r="1091" spans="1:4" x14ac:dyDescent="0.25">
      <c r="A1091" s="24" t="str">
        <f>IF(OR(AND(字段母版!$C$170="Risk",COUNTIF('Risk-Control关系'!$B$5:$B$72,字段母版!$A$170)=0),AND(字段母版!$C$170="Control",COUNTIF('Risk-Control关系'!$D$5:$D$72,字段母版!$A$170)=0)),字段母版!$A$170,"")</f>
        <v/>
      </c>
      <c r="B1091" s="24" t="str">
        <f>IF(A1091="","",字段母版!$C$170)</f>
        <v/>
      </c>
      <c r="C1091" s="24" t="str">
        <f>IF(A1091="","",字段母版!$G$170)</f>
        <v/>
      </c>
      <c r="D1091" s="24" t="str">
        <f>IF(A1091="","",IF(字段母版!$C$170="Risk","孤立 Risk（ClassificationNA 可为合法信息项）","孤立 Control"))</f>
        <v/>
      </c>
    </row>
    <row r="1092" spans="1:4" x14ac:dyDescent="0.25">
      <c r="A1092" s="24" t="str">
        <f>IF(OR(AND(字段母版!$C$171="Risk",COUNTIF('Risk-Control关系'!$B$5:$B$72,字段母版!$A$171)=0),AND(字段母版!$C$171="Control",COUNTIF('Risk-Control关系'!$D$5:$D$72,字段母版!$A$171)=0)),字段母版!$A$171,"")</f>
        <v/>
      </c>
      <c r="B1092" s="24" t="str">
        <f>IF(A1092="","",字段母版!$C$171)</f>
        <v/>
      </c>
      <c r="C1092" s="24" t="str">
        <f>IF(A1092="","",字段母版!$G$171)</f>
        <v/>
      </c>
      <c r="D1092" s="24" t="str">
        <f>IF(A1092="","",IF(字段母版!$C$171="Risk","孤立 Risk（ClassificationNA 可为合法信息项）","孤立 Control"))</f>
        <v/>
      </c>
    </row>
    <row r="1093" spans="1:4" x14ac:dyDescent="0.25">
      <c r="A1093" s="24" t="str">
        <f>IF(OR(AND(字段母版!$C$172="Risk",COUNTIF('Risk-Control关系'!$B$5:$B$72,字段母版!$A$172)=0),AND(字段母版!$C$172="Control",COUNTIF('Risk-Control关系'!$D$5:$D$72,字段母版!$A$172)=0)),字段母版!$A$172,"")</f>
        <v/>
      </c>
      <c r="B1093" s="24" t="str">
        <f>IF(A1093="","",字段母版!$C$172)</f>
        <v/>
      </c>
      <c r="C1093" s="24" t="str">
        <f>IF(A1093="","",字段母版!$G$172)</f>
        <v/>
      </c>
      <c r="D1093" s="24" t="str">
        <f>IF(A1093="","",IF(字段母版!$C$172="Risk","孤立 Risk（ClassificationNA 可为合法信息项）","孤立 Control"))</f>
        <v/>
      </c>
    </row>
    <row r="1094" spans="1:4" x14ac:dyDescent="0.25">
      <c r="A1094" s="24" t="str">
        <f>IF(OR(AND(字段母版!$C$173="Risk",COUNTIF('Risk-Control关系'!$B$5:$B$72,字段母版!$A$173)=0),AND(字段母版!$C$173="Control",COUNTIF('Risk-Control关系'!$D$5:$D$72,字段母版!$A$173)=0)),字段母版!$A$173,"")</f>
        <v/>
      </c>
      <c r="B1094" s="24" t="str">
        <f>IF(A1094="","",字段母版!$C$173)</f>
        <v/>
      </c>
      <c r="C1094" s="24" t="str">
        <f>IF(A1094="","",字段母版!$G$173)</f>
        <v/>
      </c>
      <c r="D1094" s="24" t="str">
        <f>IF(A1094="","",IF(字段母版!$C$173="Risk","孤立 Risk（ClassificationNA 可为合法信息项）","孤立 Control"))</f>
        <v/>
      </c>
    </row>
    <row r="1095" spans="1:4" x14ac:dyDescent="0.25">
      <c r="A1095" s="24" t="str">
        <f>IF(OR(AND(字段母版!$C$174="Risk",COUNTIF('Risk-Control关系'!$B$5:$B$72,字段母版!$A$174)=0),AND(字段母版!$C$174="Control",COUNTIF('Risk-Control关系'!$D$5:$D$72,字段母版!$A$174)=0)),字段母版!$A$174,"")</f>
        <v/>
      </c>
      <c r="B1095" s="24" t="str">
        <f>IF(A1095="","",字段母版!$C$174)</f>
        <v/>
      </c>
      <c r="C1095" s="24" t="str">
        <f>IF(A1095="","",字段母版!$G$174)</f>
        <v/>
      </c>
      <c r="D1095" s="24" t="str">
        <f>IF(A1095="","",IF(字段母版!$C$174="Risk","孤立 Risk（ClassificationNA 可为合法信息项）","孤立 Control"))</f>
        <v/>
      </c>
    </row>
    <row r="1096" spans="1:4" x14ac:dyDescent="0.25">
      <c r="A1096" s="24" t="str">
        <f>IF(OR(AND(字段母版!$C$175="Risk",COUNTIF('Risk-Control关系'!$B$5:$B$72,字段母版!$A$175)=0),AND(字段母版!$C$175="Control",COUNTIF('Risk-Control关系'!$D$5:$D$72,字段母版!$A$175)=0)),字段母版!$A$175,"")</f>
        <v/>
      </c>
      <c r="B1096" s="24" t="str">
        <f>IF(A1096="","",字段母版!$C$175)</f>
        <v/>
      </c>
      <c r="C1096" s="24" t="str">
        <f>IF(A1096="","",字段母版!$G$175)</f>
        <v/>
      </c>
      <c r="D1096" s="24" t="str">
        <f>IF(A1096="","",IF(字段母版!$C$175="Risk","孤立 Risk（ClassificationNA 可为合法信息项）","孤立 Control"))</f>
        <v/>
      </c>
    </row>
    <row r="1097" spans="1:4" x14ac:dyDescent="0.25">
      <c r="A1097" s="24" t="str">
        <f>IF(OR(AND(字段母版!$C$176="Risk",COUNTIF('Risk-Control关系'!$B$5:$B$72,字段母版!$A$176)=0),AND(字段母版!$C$176="Control",COUNTIF('Risk-Control关系'!$D$5:$D$72,字段母版!$A$176)=0)),字段母版!$A$176,"")</f>
        <v/>
      </c>
      <c r="B1097" s="24" t="str">
        <f>IF(A1097="","",字段母版!$C$176)</f>
        <v/>
      </c>
      <c r="C1097" s="24" t="str">
        <f>IF(A1097="","",字段母版!$G$176)</f>
        <v/>
      </c>
      <c r="D1097" s="24" t="str">
        <f>IF(A1097="","",IF(字段母版!$C$176="Risk","孤立 Risk（ClassificationNA 可为合法信息项）","孤立 Control"))</f>
        <v/>
      </c>
    </row>
    <row r="1098" spans="1:4" x14ac:dyDescent="0.25">
      <c r="A1098" s="24" t="str">
        <f>IF(OR(AND(字段母版!$C$177="Risk",COUNTIF('Risk-Control关系'!$B$5:$B$72,字段母版!$A$177)=0),AND(字段母版!$C$177="Control",COUNTIF('Risk-Control关系'!$D$5:$D$72,字段母版!$A$177)=0)),字段母版!$A$177,"")</f>
        <v/>
      </c>
      <c r="B1098" s="24" t="str">
        <f>IF(A1098="","",字段母版!$C$177)</f>
        <v/>
      </c>
      <c r="C1098" s="24" t="str">
        <f>IF(A1098="","",字段母版!$G$177)</f>
        <v/>
      </c>
      <c r="D1098" s="24" t="str">
        <f>IF(A1098="","",IF(字段母版!$C$177="Risk","孤立 Risk（ClassificationNA 可为合法信息项）","孤立 Control"))</f>
        <v/>
      </c>
    </row>
    <row r="1099" spans="1:4" x14ac:dyDescent="0.25">
      <c r="A1099" s="24" t="str">
        <f>IF(OR(AND(字段母版!$C$178="Risk",COUNTIF('Risk-Control关系'!$B$5:$B$72,字段母版!$A$178)=0),AND(字段母版!$C$178="Control",COUNTIF('Risk-Control关系'!$D$5:$D$72,字段母版!$A$178)=0)),字段母版!$A$178,"")</f>
        <v/>
      </c>
      <c r="B1099" s="24" t="str">
        <f>IF(A1099="","",字段母版!$C$178)</f>
        <v/>
      </c>
      <c r="C1099" s="24" t="str">
        <f>IF(A1099="","",字段母版!$G$178)</f>
        <v/>
      </c>
      <c r="D1099" s="24" t="str">
        <f>IF(A1099="","",IF(字段母版!$C$178="Risk","孤立 Risk（ClassificationNA 可为合法信息项）","孤立 Control"))</f>
        <v/>
      </c>
    </row>
    <row r="1100" spans="1:4" x14ac:dyDescent="0.25">
      <c r="A1100" s="24" t="str">
        <f>IF(OR(AND(字段母版!$C$179="Risk",COUNTIF('Risk-Control关系'!$B$5:$B$72,字段母版!$A$179)=0),AND(字段母版!$C$179="Control",COUNTIF('Risk-Control关系'!$D$5:$D$72,字段母版!$A$179)=0)),字段母版!$A$179,"")</f>
        <v/>
      </c>
      <c r="B1100" s="24" t="str">
        <f>IF(A1100="","",字段母版!$C$179)</f>
        <v/>
      </c>
      <c r="C1100" s="24" t="str">
        <f>IF(A1100="","",字段母版!$G$179)</f>
        <v/>
      </c>
      <c r="D1100" s="24" t="str">
        <f>IF(A1100="","",IF(字段母版!$C$179="Risk","孤立 Risk（ClassificationNA 可为合法信息项）","孤立 Control"))</f>
        <v/>
      </c>
    </row>
    <row r="1101" spans="1:4" x14ac:dyDescent="0.25">
      <c r="A1101" s="24" t="str">
        <f>IF(OR(AND(字段母版!$C$180="Risk",COUNTIF('Risk-Control关系'!$B$5:$B$72,字段母版!$A$180)=0),AND(字段母版!$C$180="Control",COUNTIF('Risk-Control关系'!$D$5:$D$72,字段母版!$A$180)=0)),字段母版!$A$180,"")</f>
        <v/>
      </c>
      <c r="B1101" s="24" t="str">
        <f>IF(A1101="","",字段母版!$C$180)</f>
        <v/>
      </c>
      <c r="C1101" s="24" t="str">
        <f>IF(A1101="","",字段母版!$G$180)</f>
        <v/>
      </c>
      <c r="D1101" s="24" t="str">
        <f>IF(A1101="","",IF(字段母版!$C$180="Risk","孤立 Risk（ClassificationNA 可为合法信息项）","孤立 Control"))</f>
        <v/>
      </c>
    </row>
    <row r="1102" spans="1:4" x14ac:dyDescent="0.25">
      <c r="A1102" s="24" t="str">
        <f>IF(OR(AND(字段母版!$C$181="Risk",COUNTIF('Risk-Control关系'!$B$5:$B$72,字段母版!$A$181)=0),AND(字段母版!$C$181="Control",COUNTIF('Risk-Control关系'!$D$5:$D$72,字段母版!$A$181)=0)),字段母版!$A$181,"")</f>
        <v/>
      </c>
      <c r="B1102" s="24" t="str">
        <f>IF(A1102="","",字段母版!$C$181)</f>
        <v/>
      </c>
      <c r="C1102" s="24" t="str">
        <f>IF(A1102="","",字段母版!$G$181)</f>
        <v/>
      </c>
      <c r="D1102" s="24" t="str">
        <f>IF(A1102="","",IF(字段母版!$C$181="Risk","孤立 Risk（ClassificationNA 可为合法信息项）","孤立 Control"))</f>
        <v/>
      </c>
    </row>
    <row r="1103" spans="1:4" x14ac:dyDescent="0.25">
      <c r="A1103" s="24" t="str">
        <f>IF(OR(AND(字段母版!$C$182="Risk",COUNTIF('Risk-Control关系'!$B$5:$B$72,字段母版!$A$182)=0),AND(字段母版!$C$182="Control",COUNTIF('Risk-Control关系'!$D$5:$D$72,字段母版!$A$182)=0)),字段母版!$A$182,"")</f>
        <v/>
      </c>
      <c r="B1103" s="24" t="str">
        <f>IF(A1103="","",字段母版!$C$182)</f>
        <v/>
      </c>
      <c r="C1103" s="24" t="str">
        <f>IF(A1103="","",字段母版!$G$182)</f>
        <v/>
      </c>
      <c r="D1103" s="24" t="str">
        <f>IF(A1103="","",IF(字段母版!$C$182="Risk","孤立 Risk（ClassificationNA 可为合法信息项）","孤立 Control"))</f>
        <v/>
      </c>
    </row>
    <row r="1104" spans="1:4" x14ac:dyDescent="0.25">
      <c r="A1104" s="24" t="str">
        <f>IF(OR(AND(字段母版!$C$183="Risk",COUNTIF('Risk-Control关系'!$B$5:$B$72,字段母版!$A$183)=0),AND(字段母版!$C$183="Control",COUNTIF('Risk-Control关系'!$D$5:$D$72,字段母版!$A$183)=0)),字段母版!$A$183,"")</f>
        <v/>
      </c>
      <c r="B1104" s="24" t="str">
        <f>IF(A1104="","",字段母版!$C$183)</f>
        <v/>
      </c>
      <c r="C1104" s="24" t="str">
        <f>IF(A1104="","",字段母版!$G$183)</f>
        <v/>
      </c>
      <c r="D1104" s="24" t="str">
        <f>IF(A1104="","",IF(字段母版!$C$183="Risk","孤立 Risk（ClassificationNA 可为合法信息项）","孤立 Control"))</f>
        <v/>
      </c>
    </row>
    <row r="1105" spans="1:4" ht="30" x14ac:dyDescent="0.25">
      <c r="A1105" s="24" t="str">
        <f>IF(OR(AND(字段母版!$C$184="Risk",COUNTIF('Risk-Control关系'!$B$5:$B$72,字段母版!$A$184)=0),AND(字段母版!$C$184="Control",COUNTIF('Risk-Control关系'!$D$5:$D$72,字段母版!$A$184)=0)),字段母版!$A$184,"")</f>
        <v>P1.RISK.TOOL.IDENTITY.RAITTOOL006</v>
      </c>
      <c r="B1105" s="24" t="str">
        <f>IF(A1105="","",字段母版!$C$184)</f>
        <v>Risk</v>
      </c>
      <c r="C1105" s="24" t="str">
        <f>IF(A1105="","",字段母版!$G$184)</f>
        <v>RAITTOOL006｜身份和访问管理工具 - 访问权限复核可能不准确或不完整。</v>
      </c>
      <c r="D1105" s="24" t="str">
        <f>IF(A1105="","",IF(字段母版!$C$184="Risk","孤立 Risk（ClassificationNA 可为合法信息项）","孤立 Control"))</f>
        <v>孤立 Risk（ClassificationNA 可为合法信息项）</v>
      </c>
    </row>
    <row r="1106" spans="1:4" x14ac:dyDescent="0.25">
      <c r="A1106" s="24" t="str">
        <f>IF(OR(AND(字段母版!$C$185="Risk",COUNTIF('Risk-Control关系'!$B$5:$B$72,字段母版!$A$185)=0),AND(字段母版!$C$185="Control",COUNTIF('Risk-Control关系'!$D$5:$D$72,字段母版!$A$185)=0)),字段母版!$A$185,"")</f>
        <v/>
      </c>
      <c r="B1106" s="24" t="str">
        <f>IF(A1106="","",字段母版!$C$185)</f>
        <v/>
      </c>
      <c r="C1106" s="24" t="str">
        <f>IF(A1106="","",字段母版!$G$185)</f>
        <v/>
      </c>
      <c r="D1106" s="24" t="str">
        <f>IF(A1106="","",IF(字段母版!$C$185="Risk","孤立 Risk（ClassificationNA 可为合法信息项）","孤立 Control"))</f>
        <v/>
      </c>
    </row>
    <row r="1107" spans="1:4" x14ac:dyDescent="0.25">
      <c r="A1107" s="24" t="str">
        <f>IF(OR(AND(字段母版!$C$186="Risk",COUNTIF('Risk-Control关系'!$B$5:$B$72,字段母版!$A$186)=0),AND(字段母版!$C$186="Control",COUNTIF('Risk-Control关系'!$D$5:$D$72,字段母版!$A$186)=0)),字段母版!$A$186,"")</f>
        <v/>
      </c>
      <c r="B1107" s="24" t="str">
        <f>IF(A1107="","",字段母版!$C$186)</f>
        <v/>
      </c>
      <c r="C1107" s="24" t="str">
        <f>IF(A1107="","",字段母版!$G$186)</f>
        <v/>
      </c>
      <c r="D1107" s="24" t="str">
        <f>IF(A1107="","",IF(字段母版!$C$186="Risk","孤立 Risk（ClassificationNA 可为合法信息项）","孤立 Control"))</f>
        <v/>
      </c>
    </row>
    <row r="1108" spans="1:4" x14ac:dyDescent="0.25">
      <c r="A1108" s="25" t="str">
        <f>IF(OR(AND(字段母版!$C$187="Risk",COUNTIF('Risk-Control关系'!$B$5:$B$72,字段母版!$A$187)=0),AND(字段母版!$C$187="Control",COUNTIF('Risk-Control关系'!$D$5:$D$72,字段母版!$A$187)=0)),字段母版!$A$187,"")</f>
        <v/>
      </c>
      <c r="B1108" s="25" t="str">
        <f>IF(A1108="","",字段母版!$C$187)</f>
        <v/>
      </c>
      <c r="C1108" s="25" t="str">
        <f>IF(A1108="","",字段母版!$G$187)</f>
        <v/>
      </c>
      <c r="D1108" s="25" t="str">
        <f>IF(A1108="","",IF(字段母版!$C$187="Risk","孤立 Risk（ClassificationNA 可为合法信息项）","孤立 Control"))</f>
        <v/>
      </c>
    </row>
  </sheetData>
  <mergeCells count="9">
    <mergeCell ref="A643:G643"/>
    <mergeCell ref="A830:G830"/>
    <mergeCell ref="A852:G852"/>
    <mergeCell ref="A924:G924"/>
    <mergeCell ref="A1:G1"/>
    <mergeCell ref="A2:G2"/>
    <mergeCell ref="A14:G14"/>
    <mergeCell ref="A269:G269"/>
    <mergeCell ref="A456:G456"/>
  </mergeCells>
  <phoneticPr fontId="15" type="noConversion"/>
  <conditionalFormatting sqref="A14:G1111">
    <cfRule type="containsText" dxfId="0" priority="1" operator="containsText" text="问题"/>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55"/>
  <sheetViews>
    <sheetView showGridLines="0" workbookViewId="0"/>
  </sheetViews>
  <sheetFormatPr defaultRowHeight="15" x14ac:dyDescent="0.25"/>
  <cols>
    <col min="1" max="1" width="29" customWidth="1"/>
    <col min="2" max="2" width="34" customWidth="1"/>
    <col min="3" max="3" width="18" customWidth="1"/>
    <col min="4" max="4" width="12" customWidth="1"/>
    <col min="5" max="5" width="16" customWidth="1"/>
    <col min="6" max="6" width="26" customWidth="1"/>
    <col min="7" max="7" width="28" customWidth="1"/>
    <col min="8" max="8" width="30" customWidth="1"/>
    <col min="9" max="9" width="52" customWidth="1"/>
    <col min="10" max="11" width="32" customWidth="1"/>
    <col min="12" max="14" width="34" customWidth="1"/>
    <col min="15" max="15" width="16" customWidth="1"/>
    <col min="16" max="16" width="40" customWidth="1"/>
  </cols>
  <sheetData>
    <row r="1" spans="1:16" ht="30" customHeight="1" x14ac:dyDescent="0.25">
      <c r="A1" s="85" t="s">
        <v>1238</v>
      </c>
      <c r="B1" s="73"/>
      <c r="C1" s="73"/>
      <c r="D1" s="73"/>
      <c r="E1" s="73"/>
      <c r="F1" s="73"/>
      <c r="G1" s="73"/>
      <c r="H1" s="73"/>
      <c r="I1" s="73"/>
      <c r="J1" s="73"/>
      <c r="K1" s="73"/>
      <c r="L1" s="73"/>
      <c r="M1" s="73"/>
      <c r="N1" s="73"/>
      <c r="O1" s="73"/>
      <c r="P1" s="73"/>
    </row>
    <row r="2" spans="1:16" ht="36" customHeight="1" x14ac:dyDescent="0.25">
      <c r="A2" s="86" t="s">
        <v>1239</v>
      </c>
      <c r="B2" s="73"/>
      <c r="C2" s="73"/>
      <c r="D2" s="73"/>
      <c r="E2" s="73"/>
      <c r="F2" s="73"/>
      <c r="G2" s="73"/>
      <c r="H2" s="73"/>
      <c r="I2" s="73"/>
      <c r="J2" s="73"/>
      <c r="K2" s="73"/>
      <c r="L2" s="73"/>
      <c r="M2" s="73"/>
      <c r="N2" s="73"/>
      <c r="O2" s="73"/>
      <c r="P2" s="73"/>
    </row>
    <row r="4" spans="1:16" ht="36" customHeight="1" x14ac:dyDescent="0.25">
      <c r="A4" s="2" t="s">
        <v>1220</v>
      </c>
      <c r="B4" s="3" t="s">
        <v>1240</v>
      </c>
      <c r="C4" s="3" t="s">
        <v>1241</v>
      </c>
      <c r="D4" s="3" t="s">
        <v>1242</v>
      </c>
      <c r="E4" s="3" t="s">
        <v>1243</v>
      </c>
      <c r="F4" s="3" t="s">
        <v>1244</v>
      </c>
      <c r="G4" s="3" t="s">
        <v>1245</v>
      </c>
      <c r="H4" s="3" t="s">
        <v>1246</v>
      </c>
      <c r="I4" s="3" t="s">
        <v>1247</v>
      </c>
      <c r="J4" s="3" t="s">
        <v>1248</v>
      </c>
      <c r="K4" s="3" t="s">
        <v>1249</v>
      </c>
      <c r="L4" s="3" t="s">
        <v>1250</v>
      </c>
      <c r="M4" s="3" t="s">
        <v>1251</v>
      </c>
      <c r="N4" s="3" t="s">
        <v>1252</v>
      </c>
      <c r="O4" s="3" t="s">
        <v>1253</v>
      </c>
      <c r="P4" s="4" t="s">
        <v>61</v>
      </c>
    </row>
    <row r="5" spans="1:16" x14ac:dyDescent="0.25">
      <c r="A5" s="5" t="s">
        <v>1254</v>
      </c>
      <c r="B5" s="5" t="s">
        <v>1255</v>
      </c>
      <c r="C5" s="5" t="s">
        <v>1256</v>
      </c>
      <c r="D5" s="5">
        <v>1</v>
      </c>
      <c r="E5" s="5" t="s">
        <v>1257</v>
      </c>
      <c r="F5" s="5"/>
      <c r="G5" s="5" t="s">
        <v>1256</v>
      </c>
      <c r="H5" s="8" t="s">
        <v>61</v>
      </c>
      <c r="I5" s="8"/>
      <c r="J5" s="8"/>
      <c r="K5" s="8"/>
      <c r="L5" s="8"/>
      <c r="M5" s="8"/>
      <c r="N5" s="11"/>
      <c r="O5" s="11" t="s">
        <v>236</v>
      </c>
      <c r="P5" s="5" t="s">
        <v>1258</v>
      </c>
    </row>
    <row r="6" spans="1:16" x14ac:dyDescent="0.25">
      <c r="A6" s="6" t="s">
        <v>1259</v>
      </c>
      <c r="B6" s="6" t="s">
        <v>1255</v>
      </c>
      <c r="C6" s="6" t="s">
        <v>1256</v>
      </c>
      <c r="D6" s="6">
        <v>2</v>
      </c>
      <c r="E6" s="6" t="s">
        <v>1257</v>
      </c>
      <c r="F6" s="6"/>
      <c r="G6" s="6" t="s">
        <v>1256</v>
      </c>
      <c r="H6" s="9" t="s">
        <v>1260</v>
      </c>
      <c r="I6" s="9"/>
      <c r="J6" s="9"/>
      <c r="K6" s="9"/>
      <c r="L6" s="9"/>
      <c r="M6" s="9"/>
      <c r="N6" s="12"/>
      <c r="O6" s="12" t="s">
        <v>236</v>
      </c>
      <c r="P6" s="6" t="s">
        <v>1258</v>
      </c>
    </row>
    <row r="7" spans="1:16" ht="25.5" x14ac:dyDescent="0.25">
      <c r="A7" s="6" t="s">
        <v>1261</v>
      </c>
      <c r="B7" s="6" t="s">
        <v>1255</v>
      </c>
      <c r="C7" s="6" t="s">
        <v>1256</v>
      </c>
      <c r="D7" s="6">
        <v>3</v>
      </c>
      <c r="E7" s="6" t="s">
        <v>1257</v>
      </c>
      <c r="F7" s="6"/>
      <c r="G7" s="6" t="s">
        <v>1256</v>
      </c>
      <c r="H7" s="9" t="s">
        <v>1262</v>
      </c>
      <c r="I7" s="9"/>
      <c r="J7" s="9"/>
      <c r="K7" s="9"/>
      <c r="L7" s="9"/>
      <c r="M7" s="9"/>
      <c r="N7" s="12"/>
      <c r="O7" s="12" t="s">
        <v>236</v>
      </c>
      <c r="P7" s="6" t="s">
        <v>1258</v>
      </c>
    </row>
    <row r="8" spans="1:16" x14ac:dyDescent="0.25">
      <c r="A8" s="6" t="s">
        <v>1263</v>
      </c>
      <c r="B8" s="6" t="s">
        <v>1255</v>
      </c>
      <c r="C8" s="6" t="s">
        <v>1256</v>
      </c>
      <c r="D8" s="6">
        <v>5</v>
      </c>
      <c r="E8" s="6" t="s">
        <v>1257</v>
      </c>
      <c r="F8" s="6" t="s">
        <v>64</v>
      </c>
      <c r="G8" s="6" t="s">
        <v>1256</v>
      </c>
      <c r="H8" s="9" t="s">
        <v>1264</v>
      </c>
      <c r="I8" s="9"/>
      <c r="J8" s="9"/>
      <c r="K8" s="9"/>
      <c r="L8" s="9"/>
      <c r="M8" s="9"/>
      <c r="N8" s="12"/>
      <c r="O8" s="12" t="s">
        <v>236</v>
      </c>
      <c r="P8" s="6" t="s">
        <v>1258</v>
      </c>
    </row>
    <row r="9" spans="1:16" x14ac:dyDescent="0.25">
      <c r="A9" s="6" t="s">
        <v>1265</v>
      </c>
      <c r="B9" s="6" t="s">
        <v>1255</v>
      </c>
      <c r="C9" s="6" t="s">
        <v>1256</v>
      </c>
      <c r="D9" s="6">
        <v>6</v>
      </c>
      <c r="E9" s="6" t="s">
        <v>1257</v>
      </c>
      <c r="F9" s="6" t="s">
        <v>64</v>
      </c>
      <c r="G9" s="6" t="s">
        <v>1256</v>
      </c>
      <c r="H9" s="9" t="s">
        <v>1266</v>
      </c>
      <c r="I9" s="9" t="s">
        <v>102</v>
      </c>
      <c r="J9" s="9" t="s">
        <v>1267</v>
      </c>
      <c r="K9" s="9" t="s">
        <v>1268</v>
      </c>
      <c r="L9" s="9" t="s">
        <v>1269</v>
      </c>
      <c r="M9" s="9" t="s">
        <v>1270</v>
      </c>
      <c r="N9" s="12"/>
      <c r="O9" s="12" t="s">
        <v>236</v>
      </c>
      <c r="P9" s="6" t="s">
        <v>1258</v>
      </c>
    </row>
    <row r="10" spans="1:16" ht="38.25" x14ac:dyDescent="0.25">
      <c r="A10" s="6" t="s">
        <v>77</v>
      </c>
      <c r="B10" s="6" t="s">
        <v>1255</v>
      </c>
      <c r="C10" s="6" t="s">
        <v>1256</v>
      </c>
      <c r="D10" s="6">
        <v>7</v>
      </c>
      <c r="E10" s="6" t="s">
        <v>1271</v>
      </c>
      <c r="F10" s="6" t="s">
        <v>64</v>
      </c>
      <c r="G10" s="6" t="s">
        <v>1256</v>
      </c>
      <c r="H10" s="9" t="s">
        <v>66</v>
      </c>
      <c r="I10" s="9" t="s">
        <v>67</v>
      </c>
      <c r="J10" s="9" t="s">
        <v>1272</v>
      </c>
      <c r="K10" s="9" t="s">
        <v>70</v>
      </c>
      <c r="L10" s="9" t="s">
        <v>1273</v>
      </c>
      <c r="M10" s="9" t="s">
        <v>1274</v>
      </c>
      <c r="N10" s="12" t="s">
        <v>62</v>
      </c>
      <c r="O10" s="12" t="s">
        <v>1275</v>
      </c>
      <c r="P10" s="6" t="s">
        <v>1258</v>
      </c>
    </row>
    <row r="11" spans="1:16" x14ac:dyDescent="0.25">
      <c r="A11" s="6" t="s">
        <v>89</v>
      </c>
      <c r="B11" s="6" t="s">
        <v>1255</v>
      </c>
      <c r="C11" s="6" t="s">
        <v>1256</v>
      </c>
      <c r="D11" s="6">
        <v>8</v>
      </c>
      <c r="E11" s="6" t="s">
        <v>1271</v>
      </c>
      <c r="F11" s="6" t="s">
        <v>64</v>
      </c>
      <c r="G11" s="6" t="s">
        <v>1256</v>
      </c>
      <c r="H11" s="9" t="s">
        <v>80</v>
      </c>
      <c r="I11" s="9" t="s">
        <v>81</v>
      </c>
      <c r="J11" s="9" t="s">
        <v>1276</v>
      </c>
      <c r="K11" s="9" t="s">
        <v>83</v>
      </c>
      <c r="L11" s="9"/>
      <c r="M11" s="9"/>
      <c r="N11" s="12" t="s">
        <v>79</v>
      </c>
      <c r="O11" s="12" t="s">
        <v>1275</v>
      </c>
      <c r="P11" s="6" t="s">
        <v>1258</v>
      </c>
    </row>
    <row r="12" spans="1:16" ht="25.5" x14ac:dyDescent="0.25">
      <c r="A12" s="6" t="s">
        <v>99</v>
      </c>
      <c r="B12" s="6" t="s">
        <v>1255</v>
      </c>
      <c r="C12" s="6" t="s">
        <v>1256</v>
      </c>
      <c r="D12" s="6">
        <v>9</v>
      </c>
      <c r="E12" s="6" t="s">
        <v>1271</v>
      </c>
      <c r="F12" s="6" t="s">
        <v>64</v>
      </c>
      <c r="G12" s="6" t="s">
        <v>1256</v>
      </c>
      <c r="H12" s="9" t="s">
        <v>92</v>
      </c>
      <c r="I12" s="9" t="s">
        <v>93</v>
      </c>
      <c r="J12" s="9" t="s">
        <v>1272</v>
      </c>
      <c r="K12" s="9" t="s">
        <v>94</v>
      </c>
      <c r="L12" s="9" t="s">
        <v>1277</v>
      </c>
      <c r="M12" s="9" t="s">
        <v>1278</v>
      </c>
      <c r="N12" s="12" t="s">
        <v>91</v>
      </c>
      <c r="O12" s="12" t="s">
        <v>1275</v>
      </c>
      <c r="P12" s="6" t="s">
        <v>1258</v>
      </c>
    </row>
    <row r="13" spans="1:16" x14ac:dyDescent="0.25">
      <c r="A13" s="6" t="s">
        <v>108</v>
      </c>
      <c r="B13" s="6" t="s">
        <v>1255</v>
      </c>
      <c r="C13" s="6" t="s">
        <v>1256</v>
      </c>
      <c r="D13" s="6">
        <v>10</v>
      </c>
      <c r="E13" s="6" t="s">
        <v>1271</v>
      </c>
      <c r="F13" s="6" t="s">
        <v>64</v>
      </c>
      <c r="G13" s="6" t="s">
        <v>1256</v>
      </c>
      <c r="H13" s="9" t="s">
        <v>102</v>
      </c>
      <c r="I13" s="9" t="s">
        <v>103</v>
      </c>
      <c r="J13" s="9" t="s">
        <v>1276</v>
      </c>
      <c r="K13" s="9" t="s">
        <v>83</v>
      </c>
      <c r="L13" s="9"/>
      <c r="M13" s="9"/>
      <c r="N13" s="12" t="s">
        <v>101</v>
      </c>
      <c r="O13" s="12" t="s">
        <v>1275</v>
      </c>
      <c r="P13" s="6" t="s">
        <v>1258</v>
      </c>
    </row>
    <row r="14" spans="1:16" x14ac:dyDescent="0.25">
      <c r="A14" s="6" t="s">
        <v>118</v>
      </c>
      <c r="B14" s="6" t="s">
        <v>1255</v>
      </c>
      <c r="C14" s="6" t="s">
        <v>1256</v>
      </c>
      <c r="D14" s="6">
        <v>11</v>
      </c>
      <c r="E14" s="6" t="s">
        <v>1271</v>
      </c>
      <c r="F14" s="6" t="s">
        <v>64</v>
      </c>
      <c r="G14" s="6" t="s">
        <v>1256</v>
      </c>
      <c r="H14" s="9" t="s">
        <v>110</v>
      </c>
      <c r="I14" s="9"/>
      <c r="J14" s="9" t="s">
        <v>1276</v>
      </c>
      <c r="K14" s="9" t="s">
        <v>112</v>
      </c>
      <c r="L14" s="9"/>
      <c r="M14" s="9"/>
      <c r="N14" s="12" t="s">
        <v>109</v>
      </c>
      <c r="O14" s="12" t="s">
        <v>1275</v>
      </c>
      <c r="P14" s="6" t="s">
        <v>1258</v>
      </c>
    </row>
    <row r="15" spans="1:16" ht="38.25" x14ac:dyDescent="0.25">
      <c r="A15" s="6" t="s">
        <v>129</v>
      </c>
      <c r="B15" s="6" t="s">
        <v>1255</v>
      </c>
      <c r="C15" s="6" t="s">
        <v>1256</v>
      </c>
      <c r="D15" s="6">
        <v>12</v>
      </c>
      <c r="E15" s="6" t="s">
        <v>1271</v>
      </c>
      <c r="F15" s="6" t="s">
        <v>64</v>
      </c>
      <c r="G15" s="6" t="s">
        <v>1256</v>
      </c>
      <c r="H15" s="9" t="s">
        <v>121</v>
      </c>
      <c r="I15" s="9" t="s">
        <v>122</v>
      </c>
      <c r="J15" s="9" t="s">
        <v>123</v>
      </c>
      <c r="K15" s="9" t="s">
        <v>124</v>
      </c>
      <c r="L15" s="9"/>
      <c r="M15" s="9"/>
      <c r="N15" s="12" t="s">
        <v>120</v>
      </c>
      <c r="O15" s="12" t="s">
        <v>1275</v>
      </c>
      <c r="P15" s="6" t="s">
        <v>1258</v>
      </c>
    </row>
    <row r="16" spans="1:16" x14ac:dyDescent="0.25">
      <c r="A16" s="6" t="s">
        <v>139</v>
      </c>
      <c r="B16" s="6" t="s">
        <v>1255</v>
      </c>
      <c r="C16" s="6" t="s">
        <v>1256</v>
      </c>
      <c r="D16" s="6">
        <v>13</v>
      </c>
      <c r="E16" s="6" t="s">
        <v>1271</v>
      </c>
      <c r="F16" s="6" t="s">
        <v>64</v>
      </c>
      <c r="G16" s="6" t="s">
        <v>1256</v>
      </c>
      <c r="H16" s="9" t="s">
        <v>132</v>
      </c>
      <c r="I16" s="9" t="s">
        <v>133</v>
      </c>
      <c r="J16" s="9"/>
      <c r="K16" s="9"/>
      <c r="L16" s="9"/>
      <c r="M16" s="9"/>
      <c r="N16" s="12" t="s">
        <v>131</v>
      </c>
      <c r="O16" s="12" t="s">
        <v>1275</v>
      </c>
      <c r="P16" s="6" t="s">
        <v>1258</v>
      </c>
    </row>
    <row r="17" spans="1:16" ht="25.5" x14ac:dyDescent="0.25">
      <c r="A17" s="6" t="s">
        <v>146</v>
      </c>
      <c r="B17" s="6" t="s">
        <v>1255</v>
      </c>
      <c r="C17" s="6" t="s">
        <v>1256</v>
      </c>
      <c r="D17" s="6">
        <v>14</v>
      </c>
      <c r="E17" s="6" t="s">
        <v>1271</v>
      </c>
      <c r="F17" s="6" t="s">
        <v>64</v>
      </c>
      <c r="G17" s="6" t="s">
        <v>1256</v>
      </c>
      <c r="H17" s="9" t="s">
        <v>142</v>
      </c>
      <c r="I17" s="9" t="s">
        <v>143</v>
      </c>
      <c r="J17" s="9" t="s">
        <v>123</v>
      </c>
      <c r="K17" s="9" t="s">
        <v>144</v>
      </c>
      <c r="L17" s="9"/>
      <c r="M17" s="9"/>
      <c r="N17" s="12" t="s">
        <v>141</v>
      </c>
      <c r="O17" s="12" t="s">
        <v>1275</v>
      </c>
      <c r="P17" s="6" t="s">
        <v>1258</v>
      </c>
    </row>
    <row r="18" spans="1:16" ht="25.5" x14ac:dyDescent="0.25">
      <c r="A18" s="6" t="s">
        <v>151</v>
      </c>
      <c r="B18" s="6" t="s">
        <v>1255</v>
      </c>
      <c r="C18" s="6" t="s">
        <v>1256</v>
      </c>
      <c r="D18" s="6">
        <v>15</v>
      </c>
      <c r="E18" s="6" t="s">
        <v>1271</v>
      </c>
      <c r="F18" s="6" t="s">
        <v>64</v>
      </c>
      <c r="G18" s="6" t="s">
        <v>1256</v>
      </c>
      <c r="H18" s="9" t="s">
        <v>149</v>
      </c>
      <c r="I18" s="9" t="s">
        <v>150</v>
      </c>
      <c r="J18" s="9" t="s">
        <v>123</v>
      </c>
      <c r="K18" s="9" t="s">
        <v>144</v>
      </c>
      <c r="L18" s="9"/>
      <c r="M18" s="9"/>
      <c r="N18" s="12" t="s">
        <v>148</v>
      </c>
      <c r="O18" s="12" t="s">
        <v>1275</v>
      </c>
      <c r="P18" s="6" t="s">
        <v>1258</v>
      </c>
    </row>
    <row r="19" spans="1:16" ht="51" x14ac:dyDescent="0.25">
      <c r="A19" s="6" t="s">
        <v>155</v>
      </c>
      <c r="B19" s="6" t="s">
        <v>1255</v>
      </c>
      <c r="C19" s="6" t="s">
        <v>1256</v>
      </c>
      <c r="D19" s="6">
        <v>16</v>
      </c>
      <c r="E19" s="6" t="s">
        <v>1271</v>
      </c>
      <c r="F19" s="6" t="s">
        <v>64</v>
      </c>
      <c r="G19" s="6" t="s">
        <v>1256</v>
      </c>
      <c r="H19" s="9" t="s">
        <v>153</v>
      </c>
      <c r="I19" s="9" t="s">
        <v>154</v>
      </c>
      <c r="J19" s="9" t="s">
        <v>123</v>
      </c>
      <c r="K19" s="9" t="s">
        <v>144</v>
      </c>
      <c r="L19" s="9"/>
      <c r="M19" s="9"/>
      <c r="N19" s="12" t="s">
        <v>152</v>
      </c>
      <c r="O19" s="12" t="s">
        <v>1275</v>
      </c>
      <c r="P19" s="6" t="s">
        <v>1258</v>
      </c>
    </row>
    <row r="20" spans="1:16" x14ac:dyDescent="0.25">
      <c r="A20" s="6" t="s">
        <v>159</v>
      </c>
      <c r="B20" s="6" t="s">
        <v>1255</v>
      </c>
      <c r="C20" s="6" t="s">
        <v>1256</v>
      </c>
      <c r="D20" s="6">
        <v>17</v>
      </c>
      <c r="E20" s="6" t="s">
        <v>1271</v>
      </c>
      <c r="F20" s="6" t="s">
        <v>64</v>
      </c>
      <c r="G20" s="6" t="s">
        <v>1256</v>
      </c>
      <c r="H20" s="9" t="s">
        <v>157</v>
      </c>
      <c r="I20" s="9" t="s">
        <v>158</v>
      </c>
      <c r="J20" s="9"/>
      <c r="K20" s="9"/>
      <c r="L20" s="9"/>
      <c r="M20" s="9"/>
      <c r="N20" s="12" t="s">
        <v>156</v>
      </c>
      <c r="O20" s="12" t="s">
        <v>1275</v>
      </c>
      <c r="P20" s="6" t="s">
        <v>1258</v>
      </c>
    </row>
    <row r="21" spans="1:16" x14ac:dyDescent="0.25">
      <c r="A21" s="6" t="s">
        <v>1279</v>
      </c>
      <c r="B21" s="6" t="s">
        <v>1255</v>
      </c>
      <c r="C21" s="6" t="s">
        <v>1256</v>
      </c>
      <c r="D21" s="6">
        <v>19</v>
      </c>
      <c r="E21" s="6" t="s">
        <v>1257</v>
      </c>
      <c r="F21" s="6" t="s">
        <v>161</v>
      </c>
      <c r="G21" s="6" t="s">
        <v>1256</v>
      </c>
      <c r="H21" s="9" t="s">
        <v>1280</v>
      </c>
      <c r="I21" s="9"/>
      <c r="J21" s="9"/>
      <c r="K21" s="9"/>
      <c r="L21" s="9"/>
      <c r="M21" s="9"/>
      <c r="N21" s="12"/>
      <c r="O21" s="12" t="s">
        <v>236</v>
      </c>
      <c r="P21" s="6" t="s">
        <v>1258</v>
      </c>
    </row>
    <row r="22" spans="1:16" x14ac:dyDescent="0.25">
      <c r="A22" s="6" t="s">
        <v>1281</v>
      </c>
      <c r="B22" s="6" t="s">
        <v>1255</v>
      </c>
      <c r="C22" s="6" t="s">
        <v>1256</v>
      </c>
      <c r="D22" s="6">
        <v>20</v>
      </c>
      <c r="E22" s="6" t="s">
        <v>1257</v>
      </c>
      <c r="F22" s="6" t="s">
        <v>161</v>
      </c>
      <c r="G22" s="6" t="s">
        <v>1256</v>
      </c>
      <c r="H22" s="9" t="s">
        <v>1266</v>
      </c>
      <c r="I22" s="9" t="s">
        <v>102</v>
      </c>
      <c r="J22" s="9" t="s">
        <v>1267</v>
      </c>
      <c r="K22" s="9" t="s">
        <v>1268</v>
      </c>
      <c r="L22" s="9" t="s">
        <v>1269</v>
      </c>
      <c r="M22" s="9" t="s">
        <v>1270</v>
      </c>
      <c r="N22" s="12"/>
      <c r="O22" s="12" t="s">
        <v>236</v>
      </c>
      <c r="P22" s="6" t="s">
        <v>1258</v>
      </c>
    </row>
    <row r="23" spans="1:16" ht="38.25" x14ac:dyDescent="0.25">
      <c r="A23" s="6" t="s">
        <v>164</v>
      </c>
      <c r="B23" s="6" t="s">
        <v>1255</v>
      </c>
      <c r="C23" s="6" t="s">
        <v>1256</v>
      </c>
      <c r="D23" s="6">
        <v>21</v>
      </c>
      <c r="E23" s="6" t="s">
        <v>1271</v>
      </c>
      <c r="F23" s="6" t="s">
        <v>161</v>
      </c>
      <c r="G23" s="6" t="s">
        <v>1256</v>
      </c>
      <c r="H23" s="9" t="s">
        <v>66</v>
      </c>
      <c r="I23" s="9" t="s">
        <v>162</v>
      </c>
      <c r="J23" s="9" t="s">
        <v>1272</v>
      </c>
      <c r="K23" s="9" t="s">
        <v>163</v>
      </c>
      <c r="L23" s="9" t="s">
        <v>1273</v>
      </c>
      <c r="M23" s="9" t="s">
        <v>1274</v>
      </c>
      <c r="N23" s="12" t="s">
        <v>160</v>
      </c>
      <c r="O23" s="12" t="s">
        <v>1275</v>
      </c>
      <c r="P23" s="6" t="s">
        <v>1258</v>
      </c>
    </row>
    <row r="24" spans="1:16" x14ac:dyDescent="0.25">
      <c r="A24" s="6" t="s">
        <v>166</v>
      </c>
      <c r="B24" s="6" t="s">
        <v>1255</v>
      </c>
      <c r="C24" s="6" t="s">
        <v>1256</v>
      </c>
      <c r="D24" s="6">
        <v>22</v>
      </c>
      <c r="E24" s="6" t="s">
        <v>1271</v>
      </c>
      <c r="F24" s="6" t="s">
        <v>161</v>
      </c>
      <c r="G24" s="6" t="s">
        <v>1256</v>
      </c>
      <c r="H24" s="9" t="s">
        <v>80</v>
      </c>
      <c r="I24" s="9" t="s">
        <v>81</v>
      </c>
      <c r="J24" s="9" t="s">
        <v>1276</v>
      </c>
      <c r="K24" s="9" t="s">
        <v>83</v>
      </c>
      <c r="L24" s="9"/>
      <c r="M24" s="9"/>
      <c r="N24" s="12" t="s">
        <v>165</v>
      </c>
      <c r="O24" s="12" t="s">
        <v>1275</v>
      </c>
      <c r="P24" s="6" t="s">
        <v>1258</v>
      </c>
    </row>
    <row r="25" spans="1:16" ht="25.5" x14ac:dyDescent="0.25">
      <c r="A25" s="6" t="s">
        <v>169</v>
      </c>
      <c r="B25" s="6" t="s">
        <v>1255</v>
      </c>
      <c r="C25" s="6" t="s">
        <v>1256</v>
      </c>
      <c r="D25" s="6">
        <v>23</v>
      </c>
      <c r="E25" s="6" t="s">
        <v>1271</v>
      </c>
      <c r="F25" s="6" t="s">
        <v>161</v>
      </c>
      <c r="G25" s="6" t="s">
        <v>1256</v>
      </c>
      <c r="H25" s="9" t="s">
        <v>92</v>
      </c>
      <c r="I25" s="9" t="s">
        <v>93</v>
      </c>
      <c r="J25" s="9" t="s">
        <v>1272</v>
      </c>
      <c r="K25" s="9" t="s">
        <v>94</v>
      </c>
      <c r="L25" s="9" t="s">
        <v>1277</v>
      </c>
      <c r="M25" s="9" t="s">
        <v>1282</v>
      </c>
      <c r="N25" s="12" t="s">
        <v>167</v>
      </c>
      <c r="O25" s="12" t="s">
        <v>1275</v>
      </c>
      <c r="P25" s="6" t="s">
        <v>1258</v>
      </c>
    </row>
    <row r="26" spans="1:16" x14ac:dyDescent="0.25">
      <c r="A26" s="6" t="s">
        <v>171</v>
      </c>
      <c r="B26" s="6" t="s">
        <v>1255</v>
      </c>
      <c r="C26" s="6" t="s">
        <v>1256</v>
      </c>
      <c r="D26" s="6">
        <v>24</v>
      </c>
      <c r="E26" s="6" t="s">
        <v>1271</v>
      </c>
      <c r="F26" s="6" t="s">
        <v>161</v>
      </c>
      <c r="G26" s="6" t="s">
        <v>1256</v>
      </c>
      <c r="H26" s="9" t="s">
        <v>102</v>
      </c>
      <c r="I26" s="9" t="s">
        <v>103</v>
      </c>
      <c r="J26" s="9" t="s">
        <v>1276</v>
      </c>
      <c r="K26" s="9" t="s">
        <v>83</v>
      </c>
      <c r="L26" s="9"/>
      <c r="M26" s="9"/>
      <c r="N26" s="12" t="s">
        <v>170</v>
      </c>
      <c r="O26" s="12" t="s">
        <v>1275</v>
      </c>
      <c r="P26" s="6" t="s">
        <v>1258</v>
      </c>
    </row>
    <row r="27" spans="1:16" x14ac:dyDescent="0.25">
      <c r="A27" s="6" t="s">
        <v>173</v>
      </c>
      <c r="B27" s="6" t="s">
        <v>1255</v>
      </c>
      <c r="C27" s="6" t="s">
        <v>1256</v>
      </c>
      <c r="D27" s="6">
        <v>25</v>
      </c>
      <c r="E27" s="6" t="s">
        <v>1271</v>
      </c>
      <c r="F27" s="6" t="s">
        <v>161</v>
      </c>
      <c r="G27" s="6" t="s">
        <v>1256</v>
      </c>
      <c r="H27" s="9" t="s">
        <v>110</v>
      </c>
      <c r="I27" s="9"/>
      <c r="J27" s="9" t="s">
        <v>1276</v>
      </c>
      <c r="K27" s="9" t="s">
        <v>112</v>
      </c>
      <c r="L27" s="9"/>
      <c r="M27" s="9"/>
      <c r="N27" s="12" t="s">
        <v>172</v>
      </c>
      <c r="O27" s="12" t="s">
        <v>1275</v>
      </c>
      <c r="P27" s="6" t="s">
        <v>1258</v>
      </c>
    </row>
    <row r="28" spans="1:16" ht="38.25" x14ac:dyDescent="0.25">
      <c r="A28" s="6" t="s">
        <v>175</v>
      </c>
      <c r="B28" s="6" t="s">
        <v>1255</v>
      </c>
      <c r="C28" s="6" t="s">
        <v>1256</v>
      </c>
      <c r="D28" s="6">
        <v>26</v>
      </c>
      <c r="E28" s="6" t="s">
        <v>1271</v>
      </c>
      <c r="F28" s="6" t="s">
        <v>161</v>
      </c>
      <c r="G28" s="6" t="s">
        <v>1256</v>
      </c>
      <c r="H28" s="9" t="s">
        <v>121</v>
      </c>
      <c r="I28" s="9" t="s">
        <v>122</v>
      </c>
      <c r="J28" s="9" t="s">
        <v>123</v>
      </c>
      <c r="K28" s="9" t="s">
        <v>124</v>
      </c>
      <c r="L28" s="9"/>
      <c r="M28" s="9"/>
      <c r="N28" s="12" t="s">
        <v>174</v>
      </c>
      <c r="O28" s="12" t="s">
        <v>1275</v>
      </c>
      <c r="P28" s="6" t="s">
        <v>1258</v>
      </c>
    </row>
    <row r="29" spans="1:16" x14ac:dyDescent="0.25">
      <c r="A29" s="6" t="s">
        <v>178</v>
      </c>
      <c r="B29" s="6" t="s">
        <v>1255</v>
      </c>
      <c r="C29" s="6" t="s">
        <v>1256</v>
      </c>
      <c r="D29" s="6">
        <v>27</v>
      </c>
      <c r="E29" s="6" t="s">
        <v>1271</v>
      </c>
      <c r="F29" s="6" t="s">
        <v>161</v>
      </c>
      <c r="G29" s="6" t="s">
        <v>1256</v>
      </c>
      <c r="H29" s="9" t="s">
        <v>132</v>
      </c>
      <c r="I29" s="9" t="s">
        <v>177</v>
      </c>
      <c r="J29" s="9"/>
      <c r="K29" s="9"/>
      <c r="L29" s="9"/>
      <c r="M29" s="9"/>
      <c r="N29" s="12" t="s">
        <v>176</v>
      </c>
      <c r="O29" s="12" t="s">
        <v>1275</v>
      </c>
      <c r="P29" s="6" t="s">
        <v>1258</v>
      </c>
    </row>
    <row r="30" spans="1:16" ht="25.5" x14ac:dyDescent="0.25">
      <c r="A30" s="6" t="s">
        <v>180</v>
      </c>
      <c r="B30" s="6" t="s">
        <v>1255</v>
      </c>
      <c r="C30" s="6" t="s">
        <v>1256</v>
      </c>
      <c r="D30" s="6">
        <v>28</v>
      </c>
      <c r="E30" s="6" t="s">
        <v>1271</v>
      </c>
      <c r="F30" s="6" t="s">
        <v>161</v>
      </c>
      <c r="G30" s="6" t="s">
        <v>1256</v>
      </c>
      <c r="H30" s="9" t="s">
        <v>142</v>
      </c>
      <c r="I30" s="9" t="s">
        <v>143</v>
      </c>
      <c r="J30" s="9" t="s">
        <v>123</v>
      </c>
      <c r="K30" s="9" t="s">
        <v>144</v>
      </c>
      <c r="L30" s="9"/>
      <c r="M30" s="9"/>
      <c r="N30" s="12" t="s">
        <v>179</v>
      </c>
      <c r="O30" s="12" t="s">
        <v>1275</v>
      </c>
      <c r="P30" s="6" t="s">
        <v>1258</v>
      </c>
    </row>
    <row r="31" spans="1:16" ht="25.5" x14ac:dyDescent="0.25">
      <c r="A31" s="6" t="s">
        <v>182</v>
      </c>
      <c r="B31" s="6" t="s">
        <v>1255</v>
      </c>
      <c r="C31" s="6" t="s">
        <v>1256</v>
      </c>
      <c r="D31" s="6">
        <v>29</v>
      </c>
      <c r="E31" s="6" t="s">
        <v>1271</v>
      </c>
      <c r="F31" s="6" t="s">
        <v>161</v>
      </c>
      <c r="G31" s="6" t="s">
        <v>1256</v>
      </c>
      <c r="H31" s="9" t="s">
        <v>149</v>
      </c>
      <c r="I31" s="9" t="s">
        <v>150</v>
      </c>
      <c r="J31" s="9" t="s">
        <v>123</v>
      </c>
      <c r="K31" s="9" t="s">
        <v>144</v>
      </c>
      <c r="L31" s="9"/>
      <c r="M31" s="9"/>
      <c r="N31" s="12" t="s">
        <v>181</v>
      </c>
      <c r="O31" s="12" t="s">
        <v>1275</v>
      </c>
      <c r="P31" s="6" t="s">
        <v>1258</v>
      </c>
    </row>
    <row r="32" spans="1:16" ht="51" x14ac:dyDescent="0.25">
      <c r="A32" s="6" t="s">
        <v>184</v>
      </c>
      <c r="B32" s="6" t="s">
        <v>1255</v>
      </c>
      <c r="C32" s="6" t="s">
        <v>1256</v>
      </c>
      <c r="D32" s="6">
        <v>30</v>
      </c>
      <c r="E32" s="6" t="s">
        <v>1271</v>
      </c>
      <c r="F32" s="6" t="s">
        <v>161</v>
      </c>
      <c r="G32" s="6" t="s">
        <v>1256</v>
      </c>
      <c r="H32" s="9" t="s">
        <v>153</v>
      </c>
      <c r="I32" s="9" t="s">
        <v>154</v>
      </c>
      <c r="J32" s="9" t="s">
        <v>123</v>
      </c>
      <c r="K32" s="9" t="s">
        <v>144</v>
      </c>
      <c r="L32" s="9"/>
      <c r="M32" s="9"/>
      <c r="N32" s="12" t="s">
        <v>183</v>
      </c>
      <c r="O32" s="12" t="s">
        <v>1275</v>
      </c>
      <c r="P32" s="6" t="s">
        <v>1258</v>
      </c>
    </row>
    <row r="33" spans="1:16" ht="38.25" x14ac:dyDescent="0.25">
      <c r="A33" s="6" t="s">
        <v>193</v>
      </c>
      <c r="B33" s="6" t="s">
        <v>1255</v>
      </c>
      <c r="C33" s="6" t="s">
        <v>1256</v>
      </c>
      <c r="D33" s="6">
        <v>31</v>
      </c>
      <c r="E33" s="6" t="s">
        <v>1271</v>
      </c>
      <c r="F33" s="6" t="s">
        <v>161</v>
      </c>
      <c r="G33" s="6" t="s">
        <v>1256</v>
      </c>
      <c r="H33" s="9" t="s">
        <v>186</v>
      </c>
      <c r="I33" s="9" t="s">
        <v>187</v>
      </c>
      <c r="J33" s="9" t="s">
        <v>1272</v>
      </c>
      <c r="K33" s="9" t="s">
        <v>70</v>
      </c>
      <c r="L33" s="9" t="s">
        <v>192</v>
      </c>
      <c r="M33" s="9"/>
      <c r="N33" s="12" t="s">
        <v>185</v>
      </c>
      <c r="O33" s="12" t="s">
        <v>1275</v>
      </c>
      <c r="P33" s="6" t="s">
        <v>1258</v>
      </c>
    </row>
    <row r="34" spans="1:16" x14ac:dyDescent="0.25">
      <c r="A34" s="6" t="s">
        <v>1283</v>
      </c>
      <c r="B34" s="6" t="s">
        <v>1255</v>
      </c>
      <c r="C34" s="6" t="s">
        <v>1256</v>
      </c>
      <c r="D34" s="6">
        <v>33</v>
      </c>
      <c r="E34" s="6" t="s">
        <v>1257</v>
      </c>
      <c r="F34" s="6" t="s">
        <v>196</v>
      </c>
      <c r="G34" s="6" t="s">
        <v>1256</v>
      </c>
      <c r="H34" s="9" t="s">
        <v>1284</v>
      </c>
      <c r="I34" s="9"/>
      <c r="J34" s="9"/>
      <c r="K34" s="9"/>
      <c r="L34" s="9"/>
      <c r="M34" s="9"/>
      <c r="N34" s="12"/>
      <c r="O34" s="12" t="s">
        <v>236</v>
      </c>
      <c r="P34" s="6" t="s">
        <v>1258</v>
      </c>
    </row>
    <row r="35" spans="1:16" x14ac:dyDescent="0.25">
      <c r="A35" s="6" t="s">
        <v>1285</v>
      </c>
      <c r="B35" s="6" t="s">
        <v>1255</v>
      </c>
      <c r="C35" s="6" t="s">
        <v>1256</v>
      </c>
      <c r="D35" s="6">
        <v>34</v>
      </c>
      <c r="E35" s="6" t="s">
        <v>1257</v>
      </c>
      <c r="F35" s="6" t="s">
        <v>196</v>
      </c>
      <c r="G35" s="6" t="s">
        <v>1256</v>
      </c>
      <c r="H35" s="9" t="s">
        <v>1266</v>
      </c>
      <c r="I35" s="9" t="s">
        <v>102</v>
      </c>
      <c r="J35" s="9" t="s">
        <v>1267</v>
      </c>
      <c r="K35" s="9" t="s">
        <v>1268</v>
      </c>
      <c r="L35" s="9" t="s">
        <v>1269</v>
      </c>
      <c r="M35" s="9" t="s">
        <v>1270</v>
      </c>
      <c r="N35" s="12"/>
      <c r="O35" s="12" t="s">
        <v>236</v>
      </c>
      <c r="P35" s="6" t="s">
        <v>1258</v>
      </c>
    </row>
    <row r="36" spans="1:16" ht="38.25" x14ac:dyDescent="0.25">
      <c r="A36" s="6" t="s">
        <v>199</v>
      </c>
      <c r="B36" s="6" t="s">
        <v>1255</v>
      </c>
      <c r="C36" s="6" t="s">
        <v>1256</v>
      </c>
      <c r="D36" s="6">
        <v>35</v>
      </c>
      <c r="E36" s="6" t="s">
        <v>1271</v>
      </c>
      <c r="F36" s="6" t="s">
        <v>196</v>
      </c>
      <c r="G36" s="6" t="s">
        <v>1256</v>
      </c>
      <c r="H36" s="9" t="s">
        <v>66</v>
      </c>
      <c r="I36" s="9" t="s">
        <v>197</v>
      </c>
      <c r="J36" s="9" t="s">
        <v>1272</v>
      </c>
      <c r="K36" s="9" t="s">
        <v>198</v>
      </c>
      <c r="L36" s="9" t="s">
        <v>1273</v>
      </c>
      <c r="M36" s="9" t="s">
        <v>1274</v>
      </c>
      <c r="N36" s="12" t="s">
        <v>195</v>
      </c>
      <c r="O36" s="12" t="s">
        <v>1275</v>
      </c>
      <c r="P36" s="6" t="s">
        <v>1258</v>
      </c>
    </row>
    <row r="37" spans="1:16" x14ac:dyDescent="0.25">
      <c r="A37" s="6" t="s">
        <v>201</v>
      </c>
      <c r="B37" s="6" t="s">
        <v>1255</v>
      </c>
      <c r="C37" s="6" t="s">
        <v>1256</v>
      </c>
      <c r="D37" s="6">
        <v>36</v>
      </c>
      <c r="E37" s="6" t="s">
        <v>1271</v>
      </c>
      <c r="F37" s="6" t="s">
        <v>196</v>
      </c>
      <c r="G37" s="6" t="s">
        <v>1256</v>
      </c>
      <c r="H37" s="9" t="s">
        <v>80</v>
      </c>
      <c r="I37" s="9" t="s">
        <v>81</v>
      </c>
      <c r="J37" s="9" t="s">
        <v>1276</v>
      </c>
      <c r="K37" s="9" t="s">
        <v>83</v>
      </c>
      <c r="L37" s="9"/>
      <c r="M37" s="9"/>
      <c r="N37" s="12" t="s">
        <v>200</v>
      </c>
      <c r="O37" s="12" t="s">
        <v>1275</v>
      </c>
      <c r="P37" s="6" t="s">
        <v>1258</v>
      </c>
    </row>
    <row r="38" spans="1:16" ht="25.5" x14ac:dyDescent="0.25">
      <c r="A38" s="6" t="s">
        <v>203</v>
      </c>
      <c r="B38" s="6" t="s">
        <v>1255</v>
      </c>
      <c r="C38" s="6" t="s">
        <v>1256</v>
      </c>
      <c r="D38" s="6">
        <v>37</v>
      </c>
      <c r="E38" s="6" t="s">
        <v>1271</v>
      </c>
      <c r="F38" s="6" t="s">
        <v>196</v>
      </c>
      <c r="G38" s="6" t="s">
        <v>1256</v>
      </c>
      <c r="H38" s="9" t="s">
        <v>92</v>
      </c>
      <c r="I38" s="9" t="s">
        <v>93</v>
      </c>
      <c r="J38" s="9" t="s">
        <v>1272</v>
      </c>
      <c r="K38" s="9" t="s">
        <v>94</v>
      </c>
      <c r="L38" s="9" t="s">
        <v>1277</v>
      </c>
      <c r="M38" s="9" t="s">
        <v>1282</v>
      </c>
      <c r="N38" s="12" t="s">
        <v>202</v>
      </c>
      <c r="O38" s="12" t="s">
        <v>1275</v>
      </c>
      <c r="P38" s="6" t="s">
        <v>1258</v>
      </c>
    </row>
    <row r="39" spans="1:16" x14ac:dyDescent="0.25">
      <c r="A39" s="6" t="s">
        <v>206</v>
      </c>
      <c r="B39" s="6" t="s">
        <v>1255</v>
      </c>
      <c r="C39" s="6" t="s">
        <v>1256</v>
      </c>
      <c r="D39" s="6">
        <v>38</v>
      </c>
      <c r="E39" s="6" t="s">
        <v>1271</v>
      </c>
      <c r="F39" s="6" t="s">
        <v>196</v>
      </c>
      <c r="G39" s="6" t="s">
        <v>1256</v>
      </c>
      <c r="H39" s="9" t="s">
        <v>102</v>
      </c>
      <c r="I39" s="9" t="s">
        <v>205</v>
      </c>
      <c r="J39" s="9" t="s">
        <v>1276</v>
      </c>
      <c r="K39" s="9" t="s">
        <v>83</v>
      </c>
      <c r="L39" s="9"/>
      <c r="M39" s="9"/>
      <c r="N39" s="12" t="s">
        <v>204</v>
      </c>
      <c r="O39" s="12" t="s">
        <v>1275</v>
      </c>
      <c r="P39" s="6" t="s">
        <v>1258</v>
      </c>
    </row>
    <row r="40" spans="1:16" x14ac:dyDescent="0.25">
      <c r="A40" s="6" t="s">
        <v>208</v>
      </c>
      <c r="B40" s="6" t="s">
        <v>1255</v>
      </c>
      <c r="C40" s="6" t="s">
        <v>1256</v>
      </c>
      <c r="D40" s="6">
        <v>39</v>
      </c>
      <c r="E40" s="6" t="s">
        <v>1271</v>
      </c>
      <c r="F40" s="6" t="s">
        <v>196</v>
      </c>
      <c r="G40" s="6" t="s">
        <v>1256</v>
      </c>
      <c r="H40" s="9" t="s">
        <v>110</v>
      </c>
      <c r="I40" s="9"/>
      <c r="J40" s="9" t="s">
        <v>1276</v>
      </c>
      <c r="K40" s="9" t="s">
        <v>112</v>
      </c>
      <c r="L40" s="9"/>
      <c r="M40" s="9"/>
      <c r="N40" s="12" t="s">
        <v>207</v>
      </c>
      <c r="O40" s="12" t="s">
        <v>1275</v>
      </c>
      <c r="P40" s="6" t="s">
        <v>1258</v>
      </c>
    </row>
    <row r="41" spans="1:16" ht="38.25" x14ac:dyDescent="0.25">
      <c r="A41" s="6" t="s">
        <v>210</v>
      </c>
      <c r="B41" s="6" t="s">
        <v>1255</v>
      </c>
      <c r="C41" s="6" t="s">
        <v>1256</v>
      </c>
      <c r="D41" s="6">
        <v>40</v>
      </c>
      <c r="E41" s="6" t="s">
        <v>1271</v>
      </c>
      <c r="F41" s="6" t="s">
        <v>196</v>
      </c>
      <c r="G41" s="6" t="s">
        <v>1256</v>
      </c>
      <c r="H41" s="9" t="s">
        <v>121</v>
      </c>
      <c r="I41" s="9" t="s">
        <v>122</v>
      </c>
      <c r="J41" s="9" t="s">
        <v>123</v>
      </c>
      <c r="K41" s="9" t="s">
        <v>124</v>
      </c>
      <c r="L41" s="9"/>
      <c r="M41" s="9"/>
      <c r="N41" s="12" t="s">
        <v>209</v>
      </c>
      <c r="O41" s="12" t="s">
        <v>1275</v>
      </c>
      <c r="P41" s="6" t="s">
        <v>1258</v>
      </c>
    </row>
    <row r="42" spans="1:16" x14ac:dyDescent="0.25">
      <c r="A42" s="6" t="s">
        <v>213</v>
      </c>
      <c r="B42" s="6" t="s">
        <v>1255</v>
      </c>
      <c r="C42" s="6" t="s">
        <v>1256</v>
      </c>
      <c r="D42" s="6">
        <v>41</v>
      </c>
      <c r="E42" s="6" t="s">
        <v>1271</v>
      </c>
      <c r="F42" s="6" t="s">
        <v>196</v>
      </c>
      <c r="G42" s="6" t="s">
        <v>1256</v>
      </c>
      <c r="H42" s="9" t="s">
        <v>132</v>
      </c>
      <c r="I42" s="9" t="s">
        <v>212</v>
      </c>
      <c r="J42" s="9"/>
      <c r="K42" s="9"/>
      <c r="L42" s="9"/>
      <c r="M42" s="9"/>
      <c r="N42" s="12" t="s">
        <v>211</v>
      </c>
      <c r="O42" s="12" t="s">
        <v>1275</v>
      </c>
      <c r="P42" s="6" t="s">
        <v>1258</v>
      </c>
    </row>
    <row r="43" spans="1:16" ht="25.5" x14ac:dyDescent="0.25">
      <c r="A43" s="6" t="s">
        <v>215</v>
      </c>
      <c r="B43" s="6" t="s">
        <v>1255</v>
      </c>
      <c r="C43" s="6" t="s">
        <v>1256</v>
      </c>
      <c r="D43" s="6">
        <v>42</v>
      </c>
      <c r="E43" s="6" t="s">
        <v>1271</v>
      </c>
      <c r="F43" s="6" t="s">
        <v>196</v>
      </c>
      <c r="G43" s="6" t="s">
        <v>1256</v>
      </c>
      <c r="H43" s="9" t="s">
        <v>142</v>
      </c>
      <c r="I43" s="9" t="s">
        <v>143</v>
      </c>
      <c r="J43" s="9" t="s">
        <v>123</v>
      </c>
      <c r="K43" s="9" t="s">
        <v>144</v>
      </c>
      <c r="L43" s="9"/>
      <c r="M43" s="9"/>
      <c r="N43" s="12" t="s">
        <v>214</v>
      </c>
      <c r="O43" s="12" t="s">
        <v>1275</v>
      </c>
      <c r="P43" s="6" t="s">
        <v>1258</v>
      </c>
    </row>
    <row r="44" spans="1:16" ht="25.5" x14ac:dyDescent="0.25">
      <c r="A44" s="6" t="s">
        <v>217</v>
      </c>
      <c r="B44" s="6" t="s">
        <v>1255</v>
      </c>
      <c r="C44" s="6" t="s">
        <v>1256</v>
      </c>
      <c r="D44" s="6">
        <v>43</v>
      </c>
      <c r="E44" s="6" t="s">
        <v>1271</v>
      </c>
      <c r="F44" s="6" t="s">
        <v>196</v>
      </c>
      <c r="G44" s="6" t="s">
        <v>1256</v>
      </c>
      <c r="H44" s="9" t="s">
        <v>149</v>
      </c>
      <c r="I44" s="9" t="s">
        <v>150</v>
      </c>
      <c r="J44" s="9" t="s">
        <v>123</v>
      </c>
      <c r="K44" s="9" t="s">
        <v>144</v>
      </c>
      <c r="L44" s="9"/>
      <c r="M44" s="9"/>
      <c r="N44" s="12" t="s">
        <v>216</v>
      </c>
      <c r="O44" s="12" t="s">
        <v>1275</v>
      </c>
      <c r="P44" s="6" t="s">
        <v>1258</v>
      </c>
    </row>
    <row r="45" spans="1:16" ht="51" x14ac:dyDescent="0.25">
      <c r="A45" s="6" t="s">
        <v>219</v>
      </c>
      <c r="B45" s="6" t="s">
        <v>1255</v>
      </c>
      <c r="C45" s="6" t="s">
        <v>1256</v>
      </c>
      <c r="D45" s="6">
        <v>44</v>
      </c>
      <c r="E45" s="6" t="s">
        <v>1271</v>
      </c>
      <c r="F45" s="6" t="s">
        <v>196</v>
      </c>
      <c r="G45" s="6" t="s">
        <v>1256</v>
      </c>
      <c r="H45" s="9" t="s">
        <v>153</v>
      </c>
      <c r="I45" s="9" t="s">
        <v>154</v>
      </c>
      <c r="J45" s="9" t="s">
        <v>123</v>
      </c>
      <c r="K45" s="9" t="s">
        <v>144</v>
      </c>
      <c r="L45" s="9"/>
      <c r="M45" s="9"/>
      <c r="N45" s="12" t="s">
        <v>218</v>
      </c>
      <c r="O45" s="12" t="s">
        <v>1275</v>
      </c>
      <c r="P45" s="6" t="s">
        <v>1258</v>
      </c>
    </row>
    <row r="46" spans="1:16" ht="38.25" x14ac:dyDescent="0.25">
      <c r="A46" s="6" t="s">
        <v>222</v>
      </c>
      <c r="B46" s="6" t="s">
        <v>1255</v>
      </c>
      <c r="C46" s="6" t="s">
        <v>1256</v>
      </c>
      <c r="D46" s="6">
        <v>45</v>
      </c>
      <c r="E46" s="6" t="s">
        <v>1271</v>
      </c>
      <c r="F46" s="6" t="s">
        <v>196</v>
      </c>
      <c r="G46" s="6" t="s">
        <v>1256</v>
      </c>
      <c r="H46" s="9" t="s">
        <v>186</v>
      </c>
      <c r="I46" s="9" t="s">
        <v>221</v>
      </c>
      <c r="J46" s="9" t="s">
        <v>1272</v>
      </c>
      <c r="K46" s="9" t="s">
        <v>70</v>
      </c>
      <c r="L46" s="9" t="s">
        <v>192</v>
      </c>
      <c r="M46" s="9"/>
      <c r="N46" s="12" t="s">
        <v>220</v>
      </c>
      <c r="O46" s="12" t="s">
        <v>1275</v>
      </c>
      <c r="P46" s="6" t="s">
        <v>1258</v>
      </c>
    </row>
    <row r="47" spans="1:16" x14ac:dyDescent="0.25">
      <c r="A47" s="6" t="s">
        <v>1286</v>
      </c>
      <c r="B47" s="6" t="s">
        <v>1255</v>
      </c>
      <c r="C47" s="6" t="s">
        <v>1256</v>
      </c>
      <c r="D47" s="6">
        <v>48</v>
      </c>
      <c r="E47" s="6" t="s">
        <v>1257</v>
      </c>
      <c r="F47" s="6" t="s">
        <v>224</v>
      </c>
      <c r="G47" s="6" t="s">
        <v>1256</v>
      </c>
      <c r="H47" s="9" t="s">
        <v>1287</v>
      </c>
      <c r="I47" s="9"/>
      <c r="J47" s="9"/>
      <c r="K47" s="9"/>
      <c r="L47" s="9"/>
      <c r="M47" s="9"/>
      <c r="N47" s="12"/>
      <c r="O47" s="12" t="s">
        <v>236</v>
      </c>
      <c r="P47" s="6" t="s">
        <v>1258</v>
      </c>
    </row>
    <row r="48" spans="1:16" x14ac:dyDescent="0.25">
      <c r="A48" s="6" t="s">
        <v>1288</v>
      </c>
      <c r="B48" s="6" t="s">
        <v>1255</v>
      </c>
      <c r="C48" s="6" t="s">
        <v>1256</v>
      </c>
      <c r="D48" s="6">
        <v>49</v>
      </c>
      <c r="E48" s="6" t="s">
        <v>1257</v>
      </c>
      <c r="F48" s="6" t="s">
        <v>224</v>
      </c>
      <c r="G48" s="6" t="s">
        <v>1256</v>
      </c>
      <c r="H48" s="9" t="s">
        <v>1266</v>
      </c>
      <c r="I48" s="9" t="s">
        <v>102</v>
      </c>
      <c r="J48" s="9" t="s">
        <v>1267</v>
      </c>
      <c r="K48" s="9" t="s">
        <v>1268</v>
      </c>
      <c r="L48" s="9" t="s">
        <v>1269</v>
      </c>
      <c r="M48" s="9" t="s">
        <v>1270</v>
      </c>
      <c r="N48" s="12"/>
      <c r="O48" s="12" t="s">
        <v>236</v>
      </c>
      <c r="P48" s="6" t="s">
        <v>1258</v>
      </c>
    </row>
    <row r="49" spans="1:16" ht="38.25" x14ac:dyDescent="0.25">
      <c r="A49" s="6" t="s">
        <v>227</v>
      </c>
      <c r="B49" s="6" t="s">
        <v>1255</v>
      </c>
      <c r="C49" s="6" t="s">
        <v>1256</v>
      </c>
      <c r="D49" s="6">
        <v>50</v>
      </c>
      <c r="E49" s="6" t="s">
        <v>1271</v>
      </c>
      <c r="F49" s="6" t="s">
        <v>224</v>
      </c>
      <c r="G49" s="6" t="s">
        <v>1256</v>
      </c>
      <c r="H49" s="9" t="s">
        <v>66</v>
      </c>
      <c r="I49" s="9" t="s">
        <v>225</v>
      </c>
      <c r="J49" s="9" t="s">
        <v>1272</v>
      </c>
      <c r="K49" s="9" t="s">
        <v>226</v>
      </c>
      <c r="L49" s="9" t="s">
        <v>1273</v>
      </c>
      <c r="M49" s="9" t="s">
        <v>1274</v>
      </c>
      <c r="N49" s="12" t="s">
        <v>223</v>
      </c>
      <c r="O49" s="12" t="s">
        <v>1275</v>
      </c>
      <c r="P49" s="6" t="s">
        <v>1258</v>
      </c>
    </row>
    <row r="50" spans="1:16" x14ac:dyDescent="0.25">
      <c r="A50" s="6" t="s">
        <v>229</v>
      </c>
      <c r="B50" s="6" t="s">
        <v>1255</v>
      </c>
      <c r="C50" s="6" t="s">
        <v>1256</v>
      </c>
      <c r="D50" s="6">
        <v>51</v>
      </c>
      <c r="E50" s="6" t="s">
        <v>1271</v>
      </c>
      <c r="F50" s="6" t="s">
        <v>224</v>
      </c>
      <c r="G50" s="6" t="s">
        <v>1256</v>
      </c>
      <c r="H50" s="9" t="s">
        <v>80</v>
      </c>
      <c r="I50" s="9" t="s">
        <v>81</v>
      </c>
      <c r="J50" s="9" t="s">
        <v>1276</v>
      </c>
      <c r="K50" s="9" t="s">
        <v>83</v>
      </c>
      <c r="L50" s="9"/>
      <c r="M50" s="9"/>
      <c r="N50" s="12" t="s">
        <v>228</v>
      </c>
      <c r="O50" s="12" t="s">
        <v>1275</v>
      </c>
      <c r="P50" s="6" t="s">
        <v>1258</v>
      </c>
    </row>
    <row r="51" spans="1:16" ht="25.5" x14ac:dyDescent="0.25">
      <c r="A51" s="6" t="s">
        <v>231</v>
      </c>
      <c r="B51" s="6" t="s">
        <v>1255</v>
      </c>
      <c r="C51" s="6" t="s">
        <v>1256</v>
      </c>
      <c r="D51" s="6">
        <v>52</v>
      </c>
      <c r="E51" s="6" t="s">
        <v>1271</v>
      </c>
      <c r="F51" s="6" t="s">
        <v>224</v>
      </c>
      <c r="G51" s="6" t="s">
        <v>1256</v>
      </c>
      <c r="H51" s="9" t="s">
        <v>92</v>
      </c>
      <c r="I51" s="9" t="s">
        <v>93</v>
      </c>
      <c r="J51" s="9" t="s">
        <v>1272</v>
      </c>
      <c r="K51" s="9" t="s">
        <v>94</v>
      </c>
      <c r="L51" s="9" t="s">
        <v>1277</v>
      </c>
      <c r="M51" s="9" t="s">
        <v>1282</v>
      </c>
      <c r="N51" s="12" t="s">
        <v>230</v>
      </c>
      <c r="O51" s="12" t="s">
        <v>1275</v>
      </c>
      <c r="P51" s="6" t="s">
        <v>1258</v>
      </c>
    </row>
    <row r="52" spans="1:16" x14ac:dyDescent="0.25">
      <c r="A52" s="6" t="s">
        <v>233</v>
      </c>
      <c r="B52" s="6" t="s">
        <v>1255</v>
      </c>
      <c r="C52" s="6" t="s">
        <v>1256</v>
      </c>
      <c r="D52" s="6">
        <v>53</v>
      </c>
      <c r="E52" s="6" t="s">
        <v>1271</v>
      </c>
      <c r="F52" s="6" t="s">
        <v>224</v>
      </c>
      <c r="G52" s="6" t="s">
        <v>1256</v>
      </c>
      <c r="H52" s="9" t="s">
        <v>102</v>
      </c>
      <c r="I52" s="9" t="s">
        <v>103</v>
      </c>
      <c r="J52" s="9" t="s">
        <v>1276</v>
      </c>
      <c r="K52" s="9" t="s">
        <v>83</v>
      </c>
      <c r="L52" s="9"/>
      <c r="M52" s="9"/>
      <c r="N52" s="12" t="s">
        <v>232</v>
      </c>
      <c r="O52" s="12" t="s">
        <v>1275</v>
      </c>
      <c r="P52" s="6" t="s">
        <v>1258</v>
      </c>
    </row>
    <row r="53" spans="1:16" x14ac:dyDescent="0.25">
      <c r="A53" s="6" t="s">
        <v>237</v>
      </c>
      <c r="B53" s="6" t="s">
        <v>1255</v>
      </c>
      <c r="C53" s="6" t="s">
        <v>1256</v>
      </c>
      <c r="D53" s="6">
        <v>54</v>
      </c>
      <c r="E53" s="6" t="s">
        <v>1271</v>
      </c>
      <c r="F53" s="6" t="s">
        <v>224</v>
      </c>
      <c r="G53" s="6" t="s">
        <v>1256</v>
      </c>
      <c r="H53" s="9" t="s">
        <v>110</v>
      </c>
      <c r="I53" s="9"/>
      <c r="J53" s="9" t="s">
        <v>1276</v>
      </c>
      <c r="K53" s="9" t="s">
        <v>112</v>
      </c>
      <c r="L53" s="9"/>
      <c r="M53" s="9"/>
      <c r="N53" s="12" t="s">
        <v>235</v>
      </c>
      <c r="O53" s="12" t="s">
        <v>1275</v>
      </c>
      <c r="P53" s="6" t="s">
        <v>1258</v>
      </c>
    </row>
    <row r="54" spans="1:16" ht="38.25" x14ac:dyDescent="0.25">
      <c r="A54" s="6" t="s">
        <v>239</v>
      </c>
      <c r="B54" s="6" t="s">
        <v>1255</v>
      </c>
      <c r="C54" s="6" t="s">
        <v>1256</v>
      </c>
      <c r="D54" s="6">
        <v>55</v>
      </c>
      <c r="E54" s="6" t="s">
        <v>1271</v>
      </c>
      <c r="F54" s="6" t="s">
        <v>224</v>
      </c>
      <c r="G54" s="6" t="s">
        <v>1256</v>
      </c>
      <c r="H54" s="9" t="s">
        <v>121</v>
      </c>
      <c r="I54" s="9" t="s">
        <v>122</v>
      </c>
      <c r="J54" s="9" t="s">
        <v>123</v>
      </c>
      <c r="K54" s="9" t="s">
        <v>124</v>
      </c>
      <c r="L54" s="9"/>
      <c r="M54" s="9"/>
      <c r="N54" s="12" t="s">
        <v>238</v>
      </c>
      <c r="O54" s="12" t="s">
        <v>1275</v>
      </c>
      <c r="P54" s="6" t="s">
        <v>1258</v>
      </c>
    </row>
    <row r="55" spans="1:16" x14ac:dyDescent="0.25">
      <c r="A55" s="6" t="s">
        <v>242</v>
      </c>
      <c r="B55" s="6" t="s">
        <v>1255</v>
      </c>
      <c r="C55" s="6" t="s">
        <v>1256</v>
      </c>
      <c r="D55" s="6">
        <v>56</v>
      </c>
      <c r="E55" s="6" t="s">
        <v>1271</v>
      </c>
      <c r="F55" s="6" t="s">
        <v>224</v>
      </c>
      <c r="G55" s="6" t="s">
        <v>1256</v>
      </c>
      <c r="H55" s="9" t="s">
        <v>132</v>
      </c>
      <c r="I55" s="9" t="s">
        <v>241</v>
      </c>
      <c r="J55" s="9"/>
      <c r="K55" s="9"/>
      <c r="L55" s="9"/>
      <c r="M55" s="9"/>
      <c r="N55" s="12" t="s">
        <v>240</v>
      </c>
      <c r="O55" s="12" t="s">
        <v>1275</v>
      </c>
      <c r="P55" s="6" t="s">
        <v>1258</v>
      </c>
    </row>
    <row r="56" spans="1:16" ht="25.5" x14ac:dyDescent="0.25">
      <c r="A56" s="6" t="s">
        <v>244</v>
      </c>
      <c r="B56" s="6" t="s">
        <v>1255</v>
      </c>
      <c r="C56" s="6" t="s">
        <v>1256</v>
      </c>
      <c r="D56" s="6">
        <v>57</v>
      </c>
      <c r="E56" s="6" t="s">
        <v>1271</v>
      </c>
      <c r="F56" s="6" t="s">
        <v>224</v>
      </c>
      <c r="G56" s="6" t="s">
        <v>1256</v>
      </c>
      <c r="H56" s="9" t="s">
        <v>142</v>
      </c>
      <c r="I56" s="9" t="s">
        <v>143</v>
      </c>
      <c r="J56" s="9" t="s">
        <v>123</v>
      </c>
      <c r="K56" s="9" t="s">
        <v>144</v>
      </c>
      <c r="L56" s="9"/>
      <c r="M56" s="9"/>
      <c r="N56" s="12" t="s">
        <v>243</v>
      </c>
      <c r="O56" s="12" t="s">
        <v>1275</v>
      </c>
      <c r="P56" s="6" t="s">
        <v>1258</v>
      </c>
    </row>
    <row r="57" spans="1:16" ht="25.5" x14ac:dyDescent="0.25">
      <c r="A57" s="6" t="s">
        <v>246</v>
      </c>
      <c r="B57" s="6" t="s">
        <v>1255</v>
      </c>
      <c r="C57" s="6" t="s">
        <v>1256</v>
      </c>
      <c r="D57" s="6">
        <v>58</v>
      </c>
      <c r="E57" s="6" t="s">
        <v>1271</v>
      </c>
      <c r="F57" s="6" t="s">
        <v>224</v>
      </c>
      <c r="G57" s="6" t="s">
        <v>1256</v>
      </c>
      <c r="H57" s="9" t="s">
        <v>149</v>
      </c>
      <c r="I57" s="9" t="s">
        <v>150</v>
      </c>
      <c r="J57" s="9" t="s">
        <v>123</v>
      </c>
      <c r="K57" s="9" t="s">
        <v>144</v>
      </c>
      <c r="L57" s="9"/>
      <c r="M57" s="9"/>
      <c r="N57" s="12" t="s">
        <v>245</v>
      </c>
      <c r="O57" s="12" t="s">
        <v>1275</v>
      </c>
      <c r="P57" s="6" t="s">
        <v>1258</v>
      </c>
    </row>
    <row r="58" spans="1:16" ht="51" x14ac:dyDescent="0.25">
      <c r="A58" s="6" t="s">
        <v>248</v>
      </c>
      <c r="B58" s="6" t="s">
        <v>1255</v>
      </c>
      <c r="C58" s="6" t="s">
        <v>1256</v>
      </c>
      <c r="D58" s="6">
        <v>59</v>
      </c>
      <c r="E58" s="6" t="s">
        <v>1271</v>
      </c>
      <c r="F58" s="6" t="s">
        <v>224</v>
      </c>
      <c r="G58" s="6" t="s">
        <v>1256</v>
      </c>
      <c r="H58" s="9" t="s">
        <v>153</v>
      </c>
      <c r="I58" s="9" t="s">
        <v>154</v>
      </c>
      <c r="J58" s="9" t="s">
        <v>123</v>
      </c>
      <c r="K58" s="9" t="s">
        <v>144</v>
      </c>
      <c r="L58" s="9"/>
      <c r="M58" s="9"/>
      <c r="N58" s="12" t="s">
        <v>247</v>
      </c>
      <c r="O58" s="12" t="s">
        <v>1275</v>
      </c>
      <c r="P58" s="6" t="s">
        <v>1258</v>
      </c>
    </row>
    <row r="59" spans="1:16" x14ac:dyDescent="0.25">
      <c r="A59" s="6" t="s">
        <v>255</v>
      </c>
      <c r="B59" s="6" t="s">
        <v>1255</v>
      </c>
      <c r="C59" s="6" t="s">
        <v>1256</v>
      </c>
      <c r="D59" s="6">
        <v>60</v>
      </c>
      <c r="E59" s="6" t="s">
        <v>1271</v>
      </c>
      <c r="F59" s="6" t="s">
        <v>224</v>
      </c>
      <c r="G59" s="6" t="s">
        <v>1256</v>
      </c>
      <c r="H59" s="9" t="s">
        <v>186</v>
      </c>
      <c r="I59" s="9" t="s">
        <v>250</v>
      </c>
      <c r="J59" s="9" t="s">
        <v>1289</v>
      </c>
      <c r="K59" s="9"/>
      <c r="L59" s="9"/>
      <c r="M59" s="9"/>
      <c r="N59" s="12" t="s">
        <v>249</v>
      </c>
      <c r="O59" s="12" t="s">
        <v>1275</v>
      </c>
      <c r="P59" s="6" t="s">
        <v>1258</v>
      </c>
    </row>
    <row r="60" spans="1:16" x14ac:dyDescent="0.25">
      <c r="A60" s="6" t="s">
        <v>259</v>
      </c>
      <c r="B60" s="6" t="s">
        <v>1255</v>
      </c>
      <c r="C60" s="6" t="s">
        <v>1256</v>
      </c>
      <c r="D60" s="6">
        <v>61</v>
      </c>
      <c r="E60" s="6" t="s">
        <v>1271</v>
      </c>
      <c r="F60" s="6" t="s">
        <v>224</v>
      </c>
      <c r="G60" s="6" t="s">
        <v>1256</v>
      </c>
      <c r="H60" s="9" t="s">
        <v>258</v>
      </c>
      <c r="I60" s="9" t="s">
        <v>250</v>
      </c>
      <c r="J60" s="9" t="s">
        <v>1289</v>
      </c>
      <c r="K60" s="9"/>
      <c r="L60" s="9"/>
      <c r="M60" s="9"/>
      <c r="N60" s="12" t="s">
        <v>257</v>
      </c>
      <c r="O60" s="12" t="s">
        <v>1275</v>
      </c>
      <c r="P60" s="6" t="s">
        <v>1258</v>
      </c>
    </row>
    <row r="61" spans="1:16" x14ac:dyDescent="0.25">
      <c r="A61" s="6" t="s">
        <v>1290</v>
      </c>
      <c r="B61" s="6" t="s">
        <v>1255</v>
      </c>
      <c r="C61" s="6" t="s">
        <v>261</v>
      </c>
      <c r="D61" s="6">
        <v>1</v>
      </c>
      <c r="E61" s="6" t="s">
        <v>1257</v>
      </c>
      <c r="F61" s="6" t="s">
        <v>64</v>
      </c>
      <c r="G61" s="6"/>
      <c r="H61" s="9" t="s">
        <v>1264</v>
      </c>
      <c r="I61" s="9"/>
      <c r="J61" s="9"/>
      <c r="K61" s="9"/>
      <c r="L61" s="9"/>
      <c r="M61" s="9"/>
      <c r="N61" s="12"/>
      <c r="O61" s="12" t="s">
        <v>236</v>
      </c>
      <c r="P61" s="6" t="s">
        <v>1258</v>
      </c>
    </row>
    <row r="62" spans="1:16" x14ac:dyDescent="0.25">
      <c r="A62" s="6" t="s">
        <v>1291</v>
      </c>
      <c r="B62" s="6" t="s">
        <v>1255</v>
      </c>
      <c r="C62" s="6" t="s">
        <v>261</v>
      </c>
      <c r="D62" s="6">
        <v>2</v>
      </c>
      <c r="E62" s="6" t="s">
        <v>1257</v>
      </c>
      <c r="F62" s="6" t="s">
        <v>64</v>
      </c>
      <c r="G62" s="6" t="s">
        <v>1292</v>
      </c>
      <c r="H62" s="9" t="s">
        <v>1292</v>
      </c>
      <c r="I62" s="9"/>
      <c r="J62" s="9"/>
      <c r="K62" s="9"/>
      <c r="L62" s="9"/>
      <c r="M62" s="9"/>
      <c r="N62" s="12"/>
      <c r="O62" s="12" t="s">
        <v>236</v>
      </c>
      <c r="P62" s="6" t="s">
        <v>1258</v>
      </c>
    </row>
    <row r="63" spans="1:16" x14ac:dyDescent="0.25">
      <c r="A63" s="6" t="s">
        <v>1293</v>
      </c>
      <c r="B63" s="6" t="s">
        <v>1255</v>
      </c>
      <c r="C63" s="6" t="s">
        <v>261</v>
      </c>
      <c r="D63" s="6">
        <v>3</v>
      </c>
      <c r="E63" s="6" t="s">
        <v>1257</v>
      </c>
      <c r="F63" s="6" t="s">
        <v>64</v>
      </c>
      <c r="G63" s="6" t="s">
        <v>1292</v>
      </c>
      <c r="H63" s="9" t="s">
        <v>1266</v>
      </c>
      <c r="I63" s="9" t="s">
        <v>102</v>
      </c>
      <c r="J63" s="9" t="s">
        <v>1267</v>
      </c>
      <c r="K63" s="9" t="s">
        <v>1268</v>
      </c>
      <c r="L63" s="9" t="s">
        <v>1269</v>
      </c>
      <c r="M63" s="9" t="s">
        <v>1270</v>
      </c>
      <c r="N63" s="12"/>
      <c r="O63" s="12" t="s">
        <v>236</v>
      </c>
      <c r="P63" s="6" t="s">
        <v>1258</v>
      </c>
    </row>
    <row r="64" spans="1:16" ht="102" x14ac:dyDescent="0.25">
      <c r="A64" s="6" t="s">
        <v>265</v>
      </c>
      <c r="B64" s="6" t="s">
        <v>1255</v>
      </c>
      <c r="C64" s="6" t="s">
        <v>261</v>
      </c>
      <c r="D64" s="6">
        <v>4</v>
      </c>
      <c r="E64" s="6" t="s">
        <v>1271</v>
      </c>
      <c r="F64" s="6" t="s">
        <v>64</v>
      </c>
      <c r="G64" s="6" t="s">
        <v>1292</v>
      </c>
      <c r="H64" s="9" t="s">
        <v>262</v>
      </c>
      <c r="I64" s="9" t="s">
        <v>263</v>
      </c>
      <c r="J64" s="9" t="s">
        <v>1272</v>
      </c>
      <c r="K64" s="9" t="s">
        <v>1294</v>
      </c>
      <c r="L64" s="9" t="s">
        <v>1295</v>
      </c>
      <c r="M64" s="9" t="s">
        <v>1296</v>
      </c>
      <c r="N64" s="12" t="s">
        <v>260</v>
      </c>
      <c r="O64" s="12" t="s">
        <v>1275</v>
      </c>
      <c r="P64" s="6" t="s">
        <v>1258</v>
      </c>
    </row>
    <row r="65" spans="1:16" ht="25.5" x14ac:dyDescent="0.25">
      <c r="A65" s="6" t="s">
        <v>275</v>
      </c>
      <c r="B65" s="6" t="s">
        <v>1255</v>
      </c>
      <c r="C65" s="6" t="s">
        <v>261</v>
      </c>
      <c r="D65" s="6">
        <v>5</v>
      </c>
      <c r="E65" s="6" t="s">
        <v>1271</v>
      </c>
      <c r="F65" s="6" t="s">
        <v>64</v>
      </c>
      <c r="G65" s="6" t="s">
        <v>1292</v>
      </c>
      <c r="H65" s="9" t="s">
        <v>267</v>
      </c>
      <c r="I65" s="9" t="s">
        <v>268</v>
      </c>
      <c r="J65" s="9" t="s">
        <v>1276</v>
      </c>
      <c r="K65" s="9" t="s">
        <v>269</v>
      </c>
      <c r="L65" s="9" t="s">
        <v>274</v>
      </c>
      <c r="M65" s="9"/>
      <c r="N65" s="12" t="s">
        <v>266</v>
      </c>
      <c r="O65" s="12" t="s">
        <v>1275</v>
      </c>
      <c r="P65" s="6" t="s">
        <v>1258</v>
      </c>
    </row>
    <row r="66" spans="1:16" x14ac:dyDescent="0.25">
      <c r="A66" s="6" t="s">
        <v>1297</v>
      </c>
      <c r="B66" s="6" t="s">
        <v>1255</v>
      </c>
      <c r="C66" s="6" t="s">
        <v>261</v>
      </c>
      <c r="D66" s="6">
        <v>7</v>
      </c>
      <c r="E66" s="6" t="s">
        <v>1257</v>
      </c>
      <c r="F66" s="6" t="s">
        <v>64</v>
      </c>
      <c r="G66" s="6" t="s">
        <v>1298</v>
      </c>
      <c r="H66" s="9" t="s">
        <v>1298</v>
      </c>
      <c r="I66" s="9"/>
      <c r="J66" s="9"/>
      <c r="K66" s="9"/>
      <c r="L66" s="9"/>
      <c r="M66" s="9"/>
      <c r="N66" s="12"/>
      <c r="O66" s="12" t="s">
        <v>236</v>
      </c>
      <c r="P66" s="6" t="s">
        <v>1258</v>
      </c>
    </row>
    <row r="67" spans="1:16" x14ac:dyDescent="0.25">
      <c r="A67" s="6" t="s">
        <v>1299</v>
      </c>
      <c r="B67" s="6" t="s">
        <v>1255</v>
      </c>
      <c r="C67" s="6" t="s">
        <v>261</v>
      </c>
      <c r="D67" s="6">
        <v>8</v>
      </c>
      <c r="E67" s="6" t="s">
        <v>1257</v>
      </c>
      <c r="F67" s="6" t="s">
        <v>64</v>
      </c>
      <c r="G67" s="6" t="s">
        <v>1298</v>
      </c>
      <c r="H67" s="9" t="s">
        <v>1266</v>
      </c>
      <c r="I67" s="9" t="s">
        <v>102</v>
      </c>
      <c r="J67" s="9" t="s">
        <v>1267</v>
      </c>
      <c r="K67" s="9" t="s">
        <v>1268</v>
      </c>
      <c r="L67" s="9" t="s">
        <v>1269</v>
      </c>
      <c r="M67" s="9" t="s">
        <v>1270</v>
      </c>
      <c r="N67" s="12"/>
      <c r="O67" s="12" t="s">
        <v>236</v>
      </c>
      <c r="P67" s="6" t="s">
        <v>1258</v>
      </c>
    </row>
    <row r="68" spans="1:16" x14ac:dyDescent="0.25">
      <c r="A68" s="6" t="s">
        <v>280</v>
      </c>
      <c r="B68" s="6" t="s">
        <v>1255</v>
      </c>
      <c r="C68" s="6" t="s">
        <v>261</v>
      </c>
      <c r="D68" s="6">
        <v>9</v>
      </c>
      <c r="E68" s="6" t="s">
        <v>1271</v>
      </c>
      <c r="F68" s="6" t="s">
        <v>64</v>
      </c>
      <c r="G68" s="6" t="s">
        <v>1298</v>
      </c>
      <c r="H68" s="9" t="s">
        <v>278</v>
      </c>
      <c r="I68" s="9" t="s">
        <v>279</v>
      </c>
      <c r="J68" s="9" t="s">
        <v>1276</v>
      </c>
      <c r="K68" s="9" t="s">
        <v>124</v>
      </c>
      <c r="L68" s="9"/>
      <c r="M68" s="9"/>
      <c r="N68" s="12" t="s">
        <v>277</v>
      </c>
      <c r="O68" s="12" t="s">
        <v>1275</v>
      </c>
      <c r="P68" s="6" t="s">
        <v>1258</v>
      </c>
    </row>
    <row r="69" spans="1:16" ht="25.5" x14ac:dyDescent="0.25">
      <c r="A69" s="6" t="s">
        <v>287</v>
      </c>
      <c r="B69" s="6" t="s">
        <v>1255</v>
      </c>
      <c r="C69" s="6" t="s">
        <v>261</v>
      </c>
      <c r="D69" s="6">
        <v>10</v>
      </c>
      <c r="E69" s="6" t="s">
        <v>1271</v>
      </c>
      <c r="F69" s="6" t="s">
        <v>64</v>
      </c>
      <c r="G69" s="6" t="s">
        <v>1298</v>
      </c>
      <c r="H69" s="9" t="s">
        <v>282</v>
      </c>
      <c r="I69" s="9" t="s">
        <v>283</v>
      </c>
      <c r="J69" s="9" t="s">
        <v>1272</v>
      </c>
      <c r="K69" s="9" t="s">
        <v>284</v>
      </c>
      <c r="L69" s="9" t="s">
        <v>286</v>
      </c>
      <c r="M69" s="9"/>
      <c r="N69" s="12" t="s">
        <v>281</v>
      </c>
      <c r="O69" s="12" t="s">
        <v>1275</v>
      </c>
      <c r="P69" s="6" t="s">
        <v>1258</v>
      </c>
    </row>
    <row r="70" spans="1:16" ht="38.25" x14ac:dyDescent="0.25">
      <c r="A70" s="6" t="s">
        <v>297</v>
      </c>
      <c r="B70" s="6" t="s">
        <v>1255</v>
      </c>
      <c r="C70" s="6" t="s">
        <v>261</v>
      </c>
      <c r="D70" s="6">
        <v>11</v>
      </c>
      <c r="E70" s="6" t="s">
        <v>1271</v>
      </c>
      <c r="F70" s="6" t="s">
        <v>64</v>
      </c>
      <c r="G70" s="6" t="s">
        <v>1298</v>
      </c>
      <c r="H70" s="9" t="s">
        <v>289</v>
      </c>
      <c r="I70" s="9" t="s">
        <v>290</v>
      </c>
      <c r="J70" s="9" t="s">
        <v>1272</v>
      </c>
      <c r="K70" s="9" t="s">
        <v>291</v>
      </c>
      <c r="L70" s="9" t="s">
        <v>1300</v>
      </c>
      <c r="M70" s="9" t="s">
        <v>1301</v>
      </c>
      <c r="N70" s="12" t="s">
        <v>288</v>
      </c>
      <c r="O70" s="12" t="s">
        <v>1275</v>
      </c>
      <c r="P70" s="6" t="s">
        <v>1258</v>
      </c>
    </row>
    <row r="71" spans="1:16" ht="25.5" x14ac:dyDescent="0.25">
      <c r="A71" s="6" t="s">
        <v>307</v>
      </c>
      <c r="B71" s="6" t="s">
        <v>1255</v>
      </c>
      <c r="C71" s="6" t="s">
        <v>261</v>
      </c>
      <c r="D71" s="6">
        <v>12</v>
      </c>
      <c r="E71" s="6" t="s">
        <v>1271</v>
      </c>
      <c r="F71" s="6" t="s">
        <v>64</v>
      </c>
      <c r="G71" s="6" t="s">
        <v>1298</v>
      </c>
      <c r="H71" s="9" t="s">
        <v>299</v>
      </c>
      <c r="I71" s="9" t="s">
        <v>300</v>
      </c>
      <c r="J71" s="9" t="s">
        <v>1276</v>
      </c>
      <c r="K71" s="9" t="s">
        <v>301</v>
      </c>
      <c r="L71" s="9" t="s">
        <v>306</v>
      </c>
      <c r="M71" s="9"/>
      <c r="N71" s="12" t="s">
        <v>298</v>
      </c>
      <c r="O71" s="12" t="s">
        <v>1275</v>
      </c>
      <c r="P71" s="6" t="s">
        <v>1258</v>
      </c>
    </row>
    <row r="72" spans="1:16" ht="25.5" x14ac:dyDescent="0.25">
      <c r="A72" s="6" t="s">
        <v>316</v>
      </c>
      <c r="B72" s="6" t="s">
        <v>1255</v>
      </c>
      <c r="C72" s="6" t="s">
        <v>261</v>
      </c>
      <c r="D72" s="6">
        <v>13</v>
      </c>
      <c r="E72" s="6" t="s">
        <v>1271</v>
      </c>
      <c r="F72" s="6" t="s">
        <v>64</v>
      </c>
      <c r="G72" s="6" t="s">
        <v>1298</v>
      </c>
      <c r="H72" s="9" t="s">
        <v>310</v>
      </c>
      <c r="I72" s="9" t="s">
        <v>311</v>
      </c>
      <c r="J72" s="9"/>
      <c r="K72" s="9"/>
      <c r="L72" s="9"/>
      <c r="M72" s="9"/>
      <c r="N72" s="12" t="s">
        <v>309</v>
      </c>
      <c r="O72" s="12" t="s">
        <v>1275</v>
      </c>
      <c r="P72" s="6" t="s">
        <v>1258</v>
      </c>
    </row>
    <row r="73" spans="1:16" x14ac:dyDescent="0.25">
      <c r="A73" s="6" t="s">
        <v>1302</v>
      </c>
      <c r="B73" s="6" t="s">
        <v>1255</v>
      </c>
      <c r="C73" s="6" t="s">
        <v>261</v>
      </c>
      <c r="D73" s="6">
        <v>15</v>
      </c>
      <c r="E73" s="6" t="s">
        <v>1257</v>
      </c>
      <c r="F73" s="6" t="s">
        <v>161</v>
      </c>
      <c r="G73" s="6" t="s">
        <v>1298</v>
      </c>
      <c r="H73" s="9" t="s">
        <v>1280</v>
      </c>
      <c r="I73" s="9"/>
      <c r="J73" s="9"/>
      <c r="K73" s="9"/>
      <c r="L73" s="9"/>
      <c r="M73" s="9"/>
      <c r="N73" s="12"/>
      <c r="O73" s="12" t="s">
        <v>236</v>
      </c>
      <c r="P73" s="6" t="s">
        <v>1258</v>
      </c>
    </row>
    <row r="74" spans="1:16" x14ac:dyDescent="0.25">
      <c r="A74" s="6" t="s">
        <v>1303</v>
      </c>
      <c r="B74" s="6" t="s">
        <v>1255</v>
      </c>
      <c r="C74" s="6" t="s">
        <v>261</v>
      </c>
      <c r="D74" s="6">
        <v>16</v>
      </c>
      <c r="E74" s="6" t="s">
        <v>1257</v>
      </c>
      <c r="F74" s="6" t="s">
        <v>161</v>
      </c>
      <c r="G74" s="6" t="s">
        <v>1292</v>
      </c>
      <c r="H74" s="9" t="s">
        <v>1292</v>
      </c>
      <c r="I74" s="9"/>
      <c r="J74" s="9"/>
      <c r="K74" s="9"/>
      <c r="L74" s="9"/>
      <c r="M74" s="9"/>
      <c r="N74" s="12"/>
      <c r="O74" s="12" t="s">
        <v>236</v>
      </c>
      <c r="P74" s="6" t="s">
        <v>1258</v>
      </c>
    </row>
    <row r="75" spans="1:16" x14ac:dyDescent="0.25">
      <c r="A75" s="6" t="s">
        <v>1304</v>
      </c>
      <c r="B75" s="6" t="s">
        <v>1255</v>
      </c>
      <c r="C75" s="6" t="s">
        <v>261</v>
      </c>
      <c r="D75" s="6">
        <v>17</v>
      </c>
      <c r="E75" s="6" t="s">
        <v>1257</v>
      </c>
      <c r="F75" s="6" t="s">
        <v>161</v>
      </c>
      <c r="G75" s="6" t="s">
        <v>1292</v>
      </c>
      <c r="H75" s="9" t="s">
        <v>1266</v>
      </c>
      <c r="I75" s="9" t="s">
        <v>102</v>
      </c>
      <c r="J75" s="9" t="s">
        <v>1267</v>
      </c>
      <c r="K75" s="9" t="s">
        <v>1268</v>
      </c>
      <c r="L75" s="9" t="s">
        <v>1269</v>
      </c>
      <c r="M75" s="9" t="s">
        <v>1270</v>
      </c>
      <c r="N75" s="12"/>
      <c r="O75" s="12" t="s">
        <v>236</v>
      </c>
      <c r="P75" s="6" t="s">
        <v>1258</v>
      </c>
    </row>
    <row r="76" spans="1:16" ht="38.25" x14ac:dyDescent="0.25">
      <c r="A76" s="6" t="s">
        <v>325</v>
      </c>
      <c r="B76" s="6" t="s">
        <v>1255</v>
      </c>
      <c r="C76" s="6" t="s">
        <v>261</v>
      </c>
      <c r="D76" s="6">
        <v>18</v>
      </c>
      <c r="E76" s="6" t="s">
        <v>1271</v>
      </c>
      <c r="F76" s="6" t="s">
        <v>161</v>
      </c>
      <c r="G76" s="6" t="s">
        <v>1292</v>
      </c>
      <c r="H76" s="9" t="s">
        <v>262</v>
      </c>
      <c r="I76" s="9" t="s">
        <v>318</v>
      </c>
      <c r="J76" s="9" t="s">
        <v>1305</v>
      </c>
      <c r="K76" s="9" t="s">
        <v>319</v>
      </c>
      <c r="L76" s="9" t="s">
        <v>324</v>
      </c>
      <c r="M76" s="9"/>
      <c r="N76" s="12" t="s">
        <v>317</v>
      </c>
      <c r="O76" s="12" t="s">
        <v>1275</v>
      </c>
      <c r="P76" s="6" t="s">
        <v>1258</v>
      </c>
    </row>
    <row r="77" spans="1:16" ht="38.25" x14ac:dyDescent="0.25">
      <c r="A77" s="6" t="s">
        <v>331</v>
      </c>
      <c r="B77" s="6" t="s">
        <v>1255</v>
      </c>
      <c r="C77" s="6" t="s">
        <v>261</v>
      </c>
      <c r="D77" s="6">
        <v>19</v>
      </c>
      <c r="E77" s="6" t="s">
        <v>1271</v>
      </c>
      <c r="F77" s="6" t="s">
        <v>161</v>
      </c>
      <c r="G77" s="6" t="s">
        <v>1292</v>
      </c>
      <c r="H77" s="9" t="s">
        <v>267</v>
      </c>
      <c r="I77" s="9" t="s">
        <v>328</v>
      </c>
      <c r="J77" s="9" t="s">
        <v>1276</v>
      </c>
      <c r="K77" s="9" t="s">
        <v>329</v>
      </c>
      <c r="L77" s="9" t="s">
        <v>330</v>
      </c>
      <c r="M77" s="9"/>
      <c r="N77" s="12" t="s">
        <v>327</v>
      </c>
      <c r="O77" s="12" t="s">
        <v>1275</v>
      </c>
      <c r="P77" s="6" t="s">
        <v>1258</v>
      </c>
    </row>
    <row r="78" spans="1:16" x14ac:dyDescent="0.25">
      <c r="A78" s="6" t="s">
        <v>1306</v>
      </c>
      <c r="B78" s="6" t="s">
        <v>1255</v>
      </c>
      <c r="C78" s="6" t="s">
        <v>261</v>
      </c>
      <c r="D78" s="6">
        <v>21</v>
      </c>
      <c r="E78" s="6" t="s">
        <v>1257</v>
      </c>
      <c r="F78" s="6" t="s">
        <v>161</v>
      </c>
      <c r="G78" s="6" t="s">
        <v>1298</v>
      </c>
      <c r="H78" s="9" t="s">
        <v>1298</v>
      </c>
      <c r="I78" s="9"/>
      <c r="J78" s="9"/>
      <c r="K78" s="9"/>
      <c r="L78" s="9"/>
      <c r="M78" s="9"/>
      <c r="N78" s="12"/>
      <c r="O78" s="12" t="s">
        <v>236</v>
      </c>
      <c r="P78" s="6" t="s">
        <v>1258</v>
      </c>
    </row>
    <row r="79" spans="1:16" x14ac:dyDescent="0.25">
      <c r="A79" s="6" t="s">
        <v>1307</v>
      </c>
      <c r="B79" s="6" t="s">
        <v>1255</v>
      </c>
      <c r="C79" s="6" t="s">
        <v>261</v>
      </c>
      <c r="D79" s="6">
        <v>22</v>
      </c>
      <c r="E79" s="6" t="s">
        <v>1257</v>
      </c>
      <c r="F79" s="6" t="s">
        <v>161</v>
      </c>
      <c r="G79" s="6" t="s">
        <v>1298</v>
      </c>
      <c r="H79" s="9" t="s">
        <v>1266</v>
      </c>
      <c r="I79" s="9" t="s">
        <v>102</v>
      </c>
      <c r="J79" s="9" t="s">
        <v>1267</v>
      </c>
      <c r="K79" s="9" t="s">
        <v>1268</v>
      </c>
      <c r="L79" s="9" t="s">
        <v>1269</v>
      </c>
      <c r="M79" s="9" t="s">
        <v>1270</v>
      </c>
      <c r="N79" s="12"/>
      <c r="O79" s="12" t="s">
        <v>236</v>
      </c>
      <c r="P79" s="6" t="s">
        <v>1258</v>
      </c>
    </row>
    <row r="80" spans="1:16" ht="25.5" x14ac:dyDescent="0.25">
      <c r="A80" s="6" t="s">
        <v>333</v>
      </c>
      <c r="B80" s="6" t="s">
        <v>1255</v>
      </c>
      <c r="C80" s="6" t="s">
        <v>261</v>
      </c>
      <c r="D80" s="6">
        <v>23</v>
      </c>
      <c r="E80" s="6" t="s">
        <v>1271</v>
      </c>
      <c r="F80" s="6" t="s">
        <v>161</v>
      </c>
      <c r="G80" s="6" t="s">
        <v>1298</v>
      </c>
      <c r="H80" s="9" t="s">
        <v>278</v>
      </c>
      <c r="I80" s="9" t="s">
        <v>1308</v>
      </c>
      <c r="J80" s="9" t="s">
        <v>1276</v>
      </c>
      <c r="K80" s="9" t="s">
        <v>124</v>
      </c>
      <c r="L80" s="9"/>
      <c r="M80" s="9"/>
      <c r="N80" s="12" t="s">
        <v>332</v>
      </c>
      <c r="O80" s="12" t="s">
        <v>1275</v>
      </c>
      <c r="P80" s="6" t="s">
        <v>1258</v>
      </c>
    </row>
    <row r="81" spans="1:16" ht="38.25" x14ac:dyDescent="0.25">
      <c r="A81" s="6" t="s">
        <v>342</v>
      </c>
      <c r="B81" s="6" t="s">
        <v>1255</v>
      </c>
      <c r="C81" s="6" t="s">
        <v>261</v>
      </c>
      <c r="D81" s="6">
        <v>24</v>
      </c>
      <c r="E81" s="6" t="s">
        <v>1271</v>
      </c>
      <c r="F81" s="6" t="s">
        <v>161</v>
      </c>
      <c r="G81" s="6" t="s">
        <v>1298</v>
      </c>
      <c r="H81" s="9" t="s">
        <v>282</v>
      </c>
      <c r="I81" s="9" t="s">
        <v>335</v>
      </c>
      <c r="J81" s="9" t="s">
        <v>1309</v>
      </c>
      <c r="K81" s="9" t="s">
        <v>284</v>
      </c>
      <c r="L81" s="9" t="s">
        <v>341</v>
      </c>
      <c r="M81" s="9"/>
      <c r="N81" s="12" t="s">
        <v>334</v>
      </c>
      <c r="O81" s="12" t="s">
        <v>1275</v>
      </c>
      <c r="P81" s="6" t="s">
        <v>1258</v>
      </c>
    </row>
    <row r="82" spans="1:16" ht="25.5" x14ac:dyDescent="0.25">
      <c r="A82" s="6" t="s">
        <v>353</v>
      </c>
      <c r="B82" s="6" t="s">
        <v>1255</v>
      </c>
      <c r="C82" s="6" t="s">
        <v>261</v>
      </c>
      <c r="D82" s="6">
        <v>25</v>
      </c>
      <c r="E82" s="6" t="s">
        <v>1271</v>
      </c>
      <c r="F82" s="6" t="s">
        <v>161</v>
      </c>
      <c r="G82" s="6" t="s">
        <v>1298</v>
      </c>
      <c r="H82" s="9" t="s">
        <v>345</v>
      </c>
      <c r="I82" s="9" t="s">
        <v>346</v>
      </c>
      <c r="J82" s="9" t="s">
        <v>1276</v>
      </c>
      <c r="K82" s="9" t="s">
        <v>347</v>
      </c>
      <c r="L82" s="9" t="s">
        <v>352</v>
      </c>
      <c r="M82" s="9"/>
      <c r="N82" s="12" t="s">
        <v>344</v>
      </c>
      <c r="O82" s="12" t="s">
        <v>1275</v>
      </c>
      <c r="P82" s="6" t="s">
        <v>1258</v>
      </c>
    </row>
    <row r="83" spans="1:16" ht="25.5" x14ac:dyDescent="0.25">
      <c r="A83" s="6" t="s">
        <v>356</v>
      </c>
      <c r="B83" s="6" t="s">
        <v>1255</v>
      </c>
      <c r="C83" s="6" t="s">
        <v>261</v>
      </c>
      <c r="D83" s="6">
        <v>26</v>
      </c>
      <c r="E83" s="6" t="s">
        <v>1271</v>
      </c>
      <c r="F83" s="6" t="s">
        <v>161</v>
      </c>
      <c r="G83" s="6" t="s">
        <v>1298</v>
      </c>
      <c r="H83" s="9" t="s">
        <v>299</v>
      </c>
      <c r="I83" s="9" t="s">
        <v>300</v>
      </c>
      <c r="J83" s="9" t="s">
        <v>1276</v>
      </c>
      <c r="K83" s="9" t="s">
        <v>301</v>
      </c>
      <c r="L83" s="9" t="s">
        <v>306</v>
      </c>
      <c r="M83" s="9"/>
      <c r="N83" s="12" t="s">
        <v>355</v>
      </c>
      <c r="O83" s="12" t="s">
        <v>1275</v>
      </c>
      <c r="P83" s="6" t="s">
        <v>1258</v>
      </c>
    </row>
    <row r="84" spans="1:16" ht="25.5" x14ac:dyDescent="0.25">
      <c r="A84" s="6" t="s">
        <v>360</v>
      </c>
      <c r="B84" s="6" t="s">
        <v>1255</v>
      </c>
      <c r="C84" s="6" t="s">
        <v>261</v>
      </c>
      <c r="D84" s="6">
        <v>27</v>
      </c>
      <c r="E84" s="6" t="s">
        <v>1271</v>
      </c>
      <c r="F84" s="6" t="s">
        <v>161</v>
      </c>
      <c r="G84" s="6" t="s">
        <v>1298</v>
      </c>
      <c r="H84" s="9" t="s">
        <v>310</v>
      </c>
      <c r="I84" s="9" t="s">
        <v>358</v>
      </c>
      <c r="J84" s="9"/>
      <c r="K84" s="9"/>
      <c r="L84" s="9" t="s">
        <v>359</v>
      </c>
      <c r="M84" s="9"/>
      <c r="N84" s="12" t="s">
        <v>357</v>
      </c>
      <c r="O84" s="12" t="s">
        <v>1275</v>
      </c>
      <c r="P84" s="6" t="s">
        <v>1258</v>
      </c>
    </row>
    <row r="85" spans="1:16" x14ac:dyDescent="0.25">
      <c r="A85" s="6" t="s">
        <v>1310</v>
      </c>
      <c r="B85" s="6" t="s">
        <v>1255</v>
      </c>
      <c r="C85" s="6" t="s">
        <v>261</v>
      </c>
      <c r="D85" s="6">
        <v>30</v>
      </c>
      <c r="E85" s="6" t="s">
        <v>1257</v>
      </c>
      <c r="F85" s="6" t="s">
        <v>196</v>
      </c>
      <c r="G85" s="6" t="s">
        <v>1298</v>
      </c>
      <c r="H85" s="9" t="s">
        <v>1284</v>
      </c>
      <c r="I85" s="9"/>
      <c r="J85" s="9"/>
      <c r="K85" s="9"/>
      <c r="L85" s="9"/>
      <c r="M85" s="9"/>
      <c r="N85" s="12"/>
      <c r="O85" s="12" t="s">
        <v>236</v>
      </c>
      <c r="P85" s="6" t="s">
        <v>1258</v>
      </c>
    </row>
    <row r="86" spans="1:16" x14ac:dyDescent="0.25">
      <c r="A86" s="6" t="s">
        <v>1311</v>
      </c>
      <c r="B86" s="6" t="s">
        <v>1255</v>
      </c>
      <c r="C86" s="6" t="s">
        <v>261</v>
      </c>
      <c r="D86" s="6">
        <v>31</v>
      </c>
      <c r="E86" s="6" t="s">
        <v>1257</v>
      </c>
      <c r="F86" s="6" t="s">
        <v>196</v>
      </c>
      <c r="G86" s="6" t="s">
        <v>1292</v>
      </c>
      <c r="H86" s="9" t="s">
        <v>1292</v>
      </c>
      <c r="I86" s="9"/>
      <c r="J86" s="9"/>
      <c r="K86" s="9"/>
      <c r="L86" s="9"/>
      <c r="M86" s="9"/>
      <c r="N86" s="12"/>
      <c r="O86" s="12" t="s">
        <v>236</v>
      </c>
      <c r="P86" s="6" t="s">
        <v>1258</v>
      </c>
    </row>
    <row r="87" spans="1:16" x14ac:dyDescent="0.25">
      <c r="A87" s="6" t="s">
        <v>1312</v>
      </c>
      <c r="B87" s="6" t="s">
        <v>1255</v>
      </c>
      <c r="C87" s="6" t="s">
        <v>261</v>
      </c>
      <c r="D87" s="6">
        <v>32</v>
      </c>
      <c r="E87" s="6" t="s">
        <v>1257</v>
      </c>
      <c r="F87" s="6" t="s">
        <v>196</v>
      </c>
      <c r="G87" s="6" t="s">
        <v>1292</v>
      </c>
      <c r="H87" s="9" t="s">
        <v>1266</v>
      </c>
      <c r="I87" s="9" t="s">
        <v>102</v>
      </c>
      <c r="J87" s="9" t="s">
        <v>1267</v>
      </c>
      <c r="K87" s="9" t="s">
        <v>1268</v>
      </c>
      <c r="L87" s="9" t="s">
        <v>1269</v>
      </c>
      <c r="M87" s="9" t="s">
        <v>1270</v>
      </c>
      <c r="N87" s="12"/>
      <c r="O87" s="12" t="s">
        <v>236</v>
      </c>
      <c r="P87" s="6" t="s">
        <v>1258</v>
      </c>
    </row>
    <row r="88" spans="1:16" ht="51" x14ac:dyDescent="0.25">
      <c r="A88" s="6" t="s">
        <v>366</v>
      </c>
      <c r="B88" s="6" t="s">
        <v>1255</v>
      </c>
      <c r="C88" s="6" t="s">
        <v>261</v>
      </c>
      <c r="D88" s="6">
        <v>33</v>
      </c>
      <c r="E88" s="6" t="s">
        <v>1271</v>
      </c>
      <c r="F88" s="6" t="s">
        <v>196</v>
      </c>
      <c r="G88" s="6" t="s">
        <v>1292</v>
      </c>
      <c r="H88" s="9" t="s">
        <v>262</v>
      </c>
      <c r="I88" s="9" t="s">
        <v>362</v>
      </c>
      <c r="J88" s="9" t="s">
        <v>1305</v>
      </c>
      <c r="K88" s="9" t="s">
        <v>363</v>
      </c>
      <c r="L88" s="9" t="s">
        <v>365</v>
      </c>
      <c r="M88" s="9"/>
      <c r="N88" s="12" t="s">
        <v>361</v>
      </c>
      <c r="O88" s="12" t="s">
        <v>1275</v>
      </c>
      <c r="P88" s="6" t="s">
        <v>1258</v>
      </c>
    </row>
    <row r="89" spans="1:16" ht="38.25" x14ac:dyDescent="0.25">
      <c r="A89" s="6" t="s">
        <v>369</v>
      </c>
      <c r="B89" s="6" t="s">
        <v>1255</v>
      </c>
      <c r="C89" s="6" t="s">
        <v>261</v>
      </c>
      <c r="D89" s="6">
        <v>34</v>
      </c>
      <c r="E89" s="6" t="s">
        <v>1271</v>
      </c>
      <c r="F89" s="6" t="s">
        <v>196</v>
      </c>
      <c r="G89" s="6" t="s">
        <v>1292</v>
      </c>
      <c r="H89" s="9" t="s">
        <v>267</v>
      </c>
      <c r="I89" s="9" t="s">
        <v>328</v>
      </c>
      <c r="J89" s="9" t="s">
        <v>1276</v>
      </c>
      <c r="K89" s="9" t="s">
        <v>368</v>
      </c>
      <c r="L89" s="9" t="s">
        <v>330</v>
      </c>
      <c r="M89" s="9"/>
      <c r="N89" s="12" t="s">
        <v>367</v>
      </c>
      <c r="O89" s="12" t="s">
        <v>1275</v>
      </c>
      <c r="P89" s="6" t="s">
        <v>1258</v>
      </c>
    </row>
    <row r="90" spans="1:16" x14ac:dyDescent="0.25">
      <c r="A90" s="6" t="s">
        <v>1313</v>
      </c>
      <c r="B90" s="6" t="s">
        <v>1255</v>
      </c>
      <c r="C90" s="6" t="s">
        <v>261</v>
      </c>
      <c r="D90" s="6">
        <v>36</v>
      </c>
      <c r="E90" s="6" t="s">
        <v>1257</v>
      </c>
      <c r="F90" s="6" t="s">
        <v>196</v>
      </c>
      <c r="G90" s="6" t="s">
        <v>1298</v>
      </c>
      <c r="H90" s="9" t="s">
        <v>1298</v>
      </c>
      <c r="I90" s="9"/>
      <c r="J90" s="9"/>
      <c r="K90" s="9"/>
      <c r="L90" s="9"/>
      <c r="M90" s="9"/>
      <c r="N90" s="12"/>
      <c r="O90" s="12" t="s">
        <v>236</v>
      </c>
      <c r="P90" s="6" t="s">
        <v>1258</v>
      </c>
    </row>
    <row r="91" spans="1:16" x14ac:dyDescent="0.25">
      <c r="A91" s="6" t="s">
        <v>1314</v>
      </c>
      <c r="B91" s="6" t="s">
        <v>1255</v>
      </c>
      <c r="C91" s="6" t="s">
        <v>261</v>
      </c>
      <c r="D91" s="6">
        <v>37</v>
      </c>
      <c r="E91" s="6" t="s">
        <v>1257</v>
      </c>
      <c r="F91" s="6" t="s">
        <v>196</v>
      </c>
      <c r="G91" s="6" t="s">
        <v>1298</v>
      </c>
      <c r="H91" s="9" t="s">
        <v>1266</v>
      </c>
      <c r="I91" s="9" t="s">
        <v>102</v>
      </c>
      <c r="J91" s="9" t="s">
        <v>1267</v>
      </c>
      <c r="K91" s="9" t="s">
        <v>1268</v>
      </c>
      <c r="L91" s="9" t="s">
        <v>1269</v>
      </c>
      <c r="M91" s="9" t="s">
        <v>1270</v>
      </c>
      <c r="N91" s="12"/>
      <c r="O91" s="12" t="s">
        <v>236</v>
      </c>
      <c r="P91" s="6" t="s">
        <v>1258</v>
      </c>
    </row>
    <row r="92" spans="1:16" ht="25.5" x14ac:dyDescent="0.25">
      <c r="A92" s="6" t="s">
        <v>371</v>
      </c>
      <c r="B92" s="6" t="s">
        <v>1255</v>
      </c>
      <c r="C92" s="6" t="s">
        <v>261</v>
      </c>
      <c r="D92" s="6">
        <v>38</v>
      </c>
      <c r="E92" s="6" t="s">
        <v>1271</v>
      </c>
      <c r="F92" s="6" t="s">
        <v>196</v>
      </c>
      <c r="G92" s="6" t="s">
        <v>1298</v>
      </c>
      <c r="H92" s="9" t="s">
        <v>278</v>
      </c>
      <c r="I92" s="9" t="s">
        <v>1315</v>
      </c>
      <c r="J92" s="9" t="s">
        <v>1276</v>
      </c>
      <c r="K92" s="9" t="s">
        <v>124</v>
      </c>
      <c r="L92" s="9"/>
      <c r="M92" s="9"/>
      <c r="N92" s="12" t="s">
        <v>370</v>
      </c>
      <c r="O92" s="12" t="s">
        <v>1275</v>
      </c>
      <c r="P92" s="6" t="s">
        <v>1258</v>
      </c>
    </row>
    <row r="93" spans="1:16" ht="38.25" x14ac:dyDescent="0.25">
      <c r="A93" s="6" t="s">
        <v>374</v>
      </c>
      <c r="B93" s="6" t="s">
        <v>1255</v>
      </c>
      <c r="C93" s="6" t="s">
        <v>261</v>
      </c>
      <c r="D93" s="6">
        <v>39</v>
      </c>
      <c r="E93" s="6" t="s">
        <v>1271</v>
      </c>
      <c r="F93" s="6" t="s">
        <v>196</v>
      </c>
      <c r="G93" s="6" t="s">
        <v>1298</v>
      </c>
      <c r="H93" s="9" t="s">
        <v>282</v>
      </c>
      <c r="I93" s="9" t="s">
        <v>373</v>
      </c>
      <c r="J93" s="9" t="s">
        <v>1309</v>
      </c>
      <c r="K93" s="9" t="s">
        <v>284</v>
      </c>
      <c r="L93" s="9" t="s">
        <v>341</v>
      </c>
      <c r="M93" s="9"/>
      <c r="N93" s="12" t="s">
        <v>372</v>
      </c>
      <c r="O93" s="12" t="s">
        <v>1275</v>
      </c>
      <c r="P93" s="6" t="s">
        <v>1258</v>
      </c>
    </row>
    <row r="94" spans="1:16" ht="25.5" x14ac:dyDescent="0.25">
      <c r="A94" s="6" t="s">
        <v>378</v>
      </c>
      <c r="B94" s="6" t="s">
        <v>1255</v>
      </c>
      <c r="C94" s="6" t="s">
        <v>261</v>
      </c>
      <c r="D94" s="6">
        <v>40</v>
      </c>
      <c r="E94" s="6" t="s">
        <v>1271</v>
      </c>
      <c r="F94" s="6" t="s">
        <v>196</v>
      </c>
      <c r="G94" s="6" t="s">
        <v>1298</v>
      </c>
      <c r="H94" s="9" t="s">
        <v>345</v>
      </c>
      <c r="I94" s="9" t="s">
        <v>376</v>
      </c>
      <c r="J94" s="9" t="s">
        <v>1276</v>
      </c>
      <c r="K94" s="9" t="s">
        <v>377</v>
      </c>
      <c r="L94" s="9" t="s">
        <v>352</v>
      </c>
      <c r="M94" s="9"/>
      <c r="N94" s="12" t="s">
        <v>375</v>
      </c>
      <c r="O94" s="12" t="s">
        <v>1275</v>
      </c>
      <c r="P94" s="6" t="s">
        <v>1258</v>
      </c>
    </row>
    <row r="95" spans="1:16" ht="25.5" x14ac:dyDescent="0.25">
      <c r="A95" s="6" t="s">
        <v>380</v>
      </c>
      <c r="B95" s="6" t="s">
        <v>1255</v>
      </c>
      <c r="C95" s="6" t="s">
        <v>261</v>
      </c>
      <c r="D95" s="6">
        <v>41</v>
      </c>
      <c r="E95" s="6" t="s">
        <v>1271</v>
      </c>
      <c r="F95" s="6" t="s">
        <v>196</v>
      </c>
      <c r="G95" s="6" t="s">
        <v>1298</v>
      </c>
      <c r="H95" s="9" t="s">
        <v>299</v>
      </c>
      <c r="I95" s="9" t="s">
        <v>300</v>
      </c>
      <c r="J95" s="9" t="s">
        <v>1276</v>
      </c>
      <c r="K95" s="9" t="s">
        <v>301</v>
      </c>
      <c r="L95" s="9" t="s">
        <v>306</v>
      </c>
      <c r="M95" s="9"/>
      <c r="N95" s="12" t="s">
        <v>379</v>
      </c>
      <c r="O95" s="12" t="s">
        <v>1275</v>
      </c>
      <c r="P95" s="6" t="s">
        <v>1258</v>
      </c>
    </row>
    <row r="96" spans="1:16" ht="25.5" x14ac:dyDescent="0.25">
      <c r="A96" s="6" t="s">
        <v>383</v>
      </c>
      <c r="B96" s="6" t="s">
        <v>1255</v>
      </c>
      <c r="C96" s="6" t="s">
        <v>261</v>
      </c>
      <c r="D96" s="6">
        <v>42</v>
      </c>
      <c r="E96" s="6" t="s">
        <v>1271</v>
      </c>
      <c r="F96" s="6" t="s">
        <v>196</v>
      </c>
      <c r="G96" s="6" t="s">
        <v>1298</v>
      </c>
      <c r="H96" s="9" t="s">
        <v>310</v>
      </c>
      <c r="I96" s="9" t="s">
        <v>382</v>
      </c>
      <c r="J96" s="9"/>
      <c r="K96" s="9"/>
      <c r="L96" s="9" t="s">
        <v>359</v>
      </c>
      <c r="M96" s="9"/>
      <c r="N96" s="12" t="s">
        <v>381</v>
      </c>
      <c r="O96" s="12" t="s">
        <v>1275</v>
      </c>
      <c r="P96" s="6" t="s">
        <v>1258</v>
      </c>
    </row>
    <row r="97" spans="1:16" x14ac:dyDescent="0.25">
      <c r="A97" s="6" t="s">
        <v>1316</v>
      </c>
      <c r="B97" s="6" t="s">
        <v>1255</v>
      </c>
      <c r="C97" s="6" t="s">
        <v>261</v>
      </c>
      <c r="D97" s="6">
        <v>45</v>
      </c>
      <c r="E97" s="6" t="s">
        <v>1257</v>
      </c>
      <c r="F97" s="6" t="s">
        <v>224</v>
      </c>
      <c r="G97" s="6" t="s">
        <v>1298</v>
      </c>
      <c r="H97" s="9" t="s">
        <v>1317</v>
      </c>
      <c r="I97" s="9"/>
      <c r="J97" s="9"/>
      <c r="K97" s="9"/>
      <c r="L97" s="9"/>
      <c r="M97" s="9"/>
      <c r="N97" s="12"/>
      <c r="O97" s="12" t="s">
        <v>236</v>
      </c>
      <c r="P97" s="6" t="s">
        <v>1258</v>
      </c>
    </row>
    <row r="98" spans="1:16" x14ac:dyDescent="0.25">
      <c r="A98" s="6" t="s">
        <v>1318</v>
      </c>
      <c r="B98" s="6" t="s">
        <v>1255</v>
      </c>
      <c r="C98" s="6" t="s">
        <v>261</v>
      </c>
      <c r="D98" s="6">
        <v>46</v>
      </c>
      <c r="E98" s="6" t="s">
        <v>1257</v>
      </c>
      <c r="F98" s="6" t="s">
        <v>224</v>
      </c>
      <c r="G98" s="6" t="s">
        <v>1292</v>
      </c>
      <c r="H98" s="9" t="s">
        <v>1292</v>
      </c>
      <c r="I98" s="9"/>
      <c r="J98" s="9"/>
      <c r="K98" s="9"/>
      <c r="L98" s="9"/>
      <c r="M98" s="9"/>
      <c r="N98" s="12"/>
      <c r="O98" s="12" t="s">
        <v>236</v>
      </c>
      <c r="P98" s="6" t="s">
        <v>1258</v>
      </c>
    </row>
    <row r="99" spans="1:16" x14ac:dyDescent="0.25">
      <c r="A99" s="6" t="s">
        <v>1319</v>
      </c>
      <c r="B99" s="6" t="s">
        <v>1255</v>
      </c>
      <c r="C99" s="6" t="s">
        <v>261</v>
      </c>
      <c r="D99" s="6">
        <v>47</v>
      </c>
      <c r="E99" s="6" t="s">
        <v>1257</v>
      </c>
      <c r="F99" s="6" t="s">
        <v>224</v>
      </c>
      <c r="G99" s="6" t="s">
        <v>1292</v>
      </c>
      <c r="H99" s="9" t="s">
        <v>1266</v>
      </c>
      <c r="I99" s="9" t="s">
        <v>102</v>
      </c>
      <c r="J99" s="9" t="s">
        <v>1267</v>
      </c>
      <c r="K99" s="9" t="s">
        <v>1268</v>
      </c>
      <c r="L99" s="9" t="s">
        <v>1269</v>
      </c>
      <c r="M99" s="9" t="s">
        <v>1270</v>
      </c>
      <c r="N99" s="12"/>
      <c r="O99" s="12" t="s">
        <v>236</v>
      </c>
      <c r="P99" s="6" t="s">
        <v>1258</v>
      </c>
    </row>
    <row r="100" spans="1:16" ht="25.5" x14ac:dyDescent="0.25">
      <c r="A100" s="6" t="s">
        <v>389</v>
      </c>
      <c r="B100" s="6" t="s">
        <v>1255</v>
      </c>
      <c r="C100" s="6" t="s">
        <v>261</v>
      </c>
      <c r="D100" s="6">
        <v>48</v>
      </c>
      <c r="E100" s="6" t="s">
        <v>1271</v>
      </c>
      <c r="F100" s="6" t="s">
        <v>224</v>
      </c>
      <c r="G100" s="6" t="s">
        <v>1292</v>
      </c>
      <c r="H100" s="9" t="s">
        <v>262</v>
      </c>
      <c r="I100" s="9" t="s">
        <v>385</v>
      </c>
      <c r="J100" s="9" t="s">
        <v>1272</v>
      </c>
      <c r="K100" s="9" t="s">
        <v>386</v>
      </c>
      <c r="L100" s="9" t="s">
        <v>388</v>
      </c>
      <c r="M100" s="9"/>
      <c r="N100" s="12" t="s">
        <v>384</v>
      </c>
      <c r="O100" s="12" t="s">
        <v>1275</v>
      </c>
      <c r="P100" s="6" t="s">
        <v>1258</v>
      </c>
    </row>
    <row r="101" spans="1:16" ht="38.25" x14ac:dyDescent="0.25">
      <c r="A101" s="6" t="s">
        <v>392</v>
      </c>
      <c r="B101" s="6" t="s">
        <v>1255</v>
      </c>
      <c r="C101" s="6" t="s">
        <v>261</v>
      </c>
      <c r="D101" s="6">
        <v>49</v>
      </c>
      <c r="E101" s="6" t="s">
        <v>1271</v>
      </c>
      <c r="F101" s="6" t="s">
        <v>224</v>
      </c>
      <c r="G101" s="6" t="s">
        <v>1292</v>
      </c>
      <c r="H101" s="9" t="s">
        <v>267</v>
      </c>
      <c r="I101" s="9" t="s">
        <v>328</v>
      </c>
      <c r="J101" s="9" t="s">
        <v>1276</v>
      </c>
      <c r="K101" s="9" t="s">
        <v>391</v>
      </c>
      <c r="L101" s="9" t="s">
        <v>330</v>
      </c>
      <c r="M101" s="9"/>
      <c r="N101" s="12" t="s">
        <v>390</v>
      </c>
      <c r="O101" s="12" t="s">
        <v>1275</v>
      </c>
      <c r="P101" s="6" t="s">
        <v>1258</v>
      </c>
    </row>
    <row r="102" spans="1:16" x14ac:dyDescent="0.25">
      <c r="A102" s="6" t="s">
        <v>1320</v>
      </c>
      <c r="B102" s="6" t="s">
        <v>1255</v>
      </c>
      <c r="C102" s="6" t="s">
        <v>261</v>
      </c>
      <c r="D102" s="6">
        <v>51</v>
      </c>
      <c r="E102" s="6" t="s">
        <v>1257</v>
      </c>
      <c r="F102" s="6" t="s">
        <v>224</v>
      </c>
      <c r="G102" s="6" t="s">
        <v>1298</v>
      </c>
      <c r="H102" s="9" t="s">
        <v>1298</v>
      </c>
      <c r="I102" s="9"/>
      <c r="J102" s="9"/>
      <c r="K102" s="9"/>
      <c r="L102" s="9"/>
      <c r="M102" s="9"/>
      <c r="N102" s="12"/>
      <c r="O102" s="12" t="s">
        <v>236</v>
      </c>
      <c r="P102" s="6" t="s">
        <v>1258</v>
      </c>
    </row>
    <row r="103" spans="1:16" x14ac:dyDescent="0.25">
      <c r="A103" s="6" t="s">
        <v>1321</v>
      </c>
      <c r="B103" s="6" t="s">
        <v>1255</v>
      </c>
      <c r="C103" s="6" t="s">
        <v>261</v>
      </c>
      <c r="D103" s="6">
        <v>52</v>
      </c>
      <c r="E103" s="6" t="s">
        <v>1257</v>
      </c>
      <c r="F103" s="6" t="s">
        <v>224</v>
      </c>
      <c r="G103" s="6" t="s">
        <v>1298</v>
      </c>
      <c r="H103" s="9" t="s">
        <v>1266</v>
      </c>
      <c r="I103" s="9" t="s">
        <v>102</v>
      </c>
      <c r="J103" s="9" t="s">
        <v>1267</v>
      </c>
      <c r="K103" s="9" t="s">
        <v>1268</v>
      </c>
      <c r="L103" s="9" t="s">
        <v>1269</v>
      </c>
      <c r="M103" s="9" t="s">
        <v>1270</v>
      </c>
      <c r="N103" s="12"/>
      <c r="O103" s="12" t="s">
        <v>236</v>
      </c>
      <c r="P103" s="6" t="s">
        <v>1258</v>
      </c>
    </row>
    <row r="104" spans="1:16" x14ac:dyDescent="0.25">
      <c r="A104" s="6" t="s">
        <v>394</v>
      </c>
      <c r="B104" s="6" t="s">
        <v>1255</v>
      </c>
      <c r="C104" s="6" t="s">
        <v>261</v>
      </c>
      <c r="D104" s="6">
        <v>53</v>
      </c>
      <c r="E104" s="6" t="s">
        <v>1271</v>
      </c>
      <c r="F104" s="6" t="s">
        <v>224</v>
      </c>
      <c r="G104" s="6" t="s">
        <v>1298</v>
      </c>
      <c r="H104" s="9" t="s">
        <v>278</v>
      </c>
      <c r="I104" s="9" t="s">
        <v>1322</v>
      </c>
      <c r="J104" s="9" t="s">
        <v>1276</v>
      </c>
      <c r="K104" s="9" t="s">
        <v>124</v>
      </c>
      <c r="L104" s="9"/>
      <c r="M104" s="9"/>
      <c r="N104" s="12" t="s">
        <v>393</v>
      </c>
      <c r="O104" s="12" t="s">
        <v>1275</v>
      </c>
      <c r="P104" s="6" t="s">
        <v>1258</v>
      </c>
    </row>
    <row r="105" spans="1:16" ht="25.5" x14ac:dyDescent="0.25">
      <c r="A105" s="6" t="s">
        <v>397</v>
      </c>
      <c r="B105" s="6" t="s">
        <v>1255</v>
      </c>
      <c r="C105" s="6" t="s">
        <v>261</v>
      </c>
      <c r="D105" s="6">
        <v>54</v>
      </c>
      <c r="E105" s="6" t="s">
        <v>1271</v>
      </c>
      <c r="F105" s="6" t="s">
        <v>224</v>
      </c>
      <c r="G105" s="6" t="s">
        <v>1298</v>
      </c>
      <c r="H105" s="9" t="s">
        <v>282</v>
      </c>
      <c r="I105" s="9" t="s">
        <v>396</v>
      </c>
      <c r="J105" s="9" t="s">
        <v>1272</v>
      </c>
      <c r="K105" s="9" t="s">
        <v>284</v>
      </c>
      <c r="L105" s="9" t="s">
        <v>286</v>
      </c>
      <c r="M105" s="9"/>
      <c r="N105" s="12" t="s">
        <v>395</v>
      </c>
      <c r="O105" s="12" t="s">
        <v>1275</v>
      </c>
      <c r="P105" s="6" t="s">
        <v>1258</v>
      </c>
    </row>
    <row r="106" spans="1:16" x14ac:dyDescent="0.25">
      <c r="A106" s="6" t="s">
        <v>400</v>
      </c>
      <c r="B106" s="6" t="s">
        <v>1255</v>
      </c>
      <c r="C106" s="6" t="s">
        <v>261</v>
      </c>
      <c r="D106" s="6">
        <v>55</v>
      </c>
      <c r="E106" s="6" t="s">
        <v>1271</v>
      </c>
      <c r="F106" s="6" t="s">
        <v>224</v>
      </c>
      <c r="G106" s="6" t="s">
        <v>1298</v>
      </c>
      <c r="H106" s="9" t="s">
        <v>1323</v>
      </c>
      <c r="I106" s="9" t="s">
        <v>1324</v>
      </c>
      <c r="J106" s="9" t="s">
        <v>1325</v>
      </c>
      <c r="K106" s="9" t="s">
        <v>1326</v>
      </c>
      <c r="L106" s="9" t="s">
        <v>1327</v>
      </c>
      <c r="M106" s="9"/>
      <c r="N106" s="12" t="s">
        <v>399</v>
      </c>
      <c r="O106" s="12" t="s">
        <v>1275</v>
      </c>
      <c r="P106" s="6" t="s">
        <v>1258</v>
      </c>
    </row>
    <row r="107" spans="1:16" ht="25.5" x14ac:dyDescent="0.25">
      <c r="A107" s="6" t="s">
        <v>402</v>
      </c>
      <c r="B107" s="6" t="s">
        <v>1255</v>
      </c>
      <c r="C107" s="6" t="s">
        <v>261</v>
      </c>
      <c r="D107" s="6">
        <v>56</v>
      </c>
      <c r="E107" s="6" t="s">
        <v>1271</v>
      </c>
      <c r="F107" s="6" t="s">
        <v>224</v>
      </c>
      <c r="G107" s="6" t="s">
        <v>1298</v>
      </c>
      <c r="H107" s="9" t="s">
        <v>299</v>
      </c>
      <c r="I107" s="9" t="s">
        <v>300</v>
      </c>
      <c r="J107" s="9" t="s">
        <v>1276</v>
      </c>
      <c r="K107" s="9" t="s">
        <v>301</v>
      </c>
      <c r="L107" s="9" t="s">
        <v>306</v>
      </c>
      <c r="M107" s="9"/>
      <c r="N107" s="12" t="s">
        <v>401</v>
      </c>
      <c r="O107" s="12" t="s">
        <v>1275</v>
      </c>
      <c r="P107" s="6" t="s">
        <v>1258</v>
      </c>
    </row>
    <row r="108" spans="1:16" ht="25.5" x14ac:dyDescent="0.25">
      <c r="A108" s="6" t="s">
        <v>405</v>
      </c>
      <c r="B108" s="6" t="s">
        <v>1255</v>
      </c>
      <c r="C108" s="6" t="s">
        <v>261</v>
      </c>
      <c r="D108" s="6">
        <v>57</v>
      </c>
      <c r="E108" s="6" t="s">
        <v>1271</v>
      </c>
      <c r="F108" s="6" t="s">
        <v>224</v>
      </c>
      <c r="G108" s="6" t="s">
        <v>1298</v>
      </c>
      <c r="H108" s="9" t="s">
        <v>310</v>
      </c>
      <c r="I108" s="9" t="s">
        <v>404</v>
      </c>
      <c r="J108" s="9"/>
      <c r="K108" s="9"/>
      <c r="L108" s="9" t="s">
        <v>359</v>
      </c>
      <c r="M108" s="9"/>
      <c r="N108" s="12" t="s">
        <v>403</v>
      </c>
      <c r="O108" s="12" t="s">
        <v>1275</v>
      </c>
      <c r="P108" s="6" t="s">
        <v>1258</v>
      </c>
    </row>
    <row r="109" spans="1:16" x14ac:dyDescent="0.25">
      <c r="A109" s="6" t="s">
        <v>1328</v>
      </c>
      <c r="B109" s="6" t="s">
        <v>1255</v>
      </c>
      <c r="C109" s="6" t="s">
        <v>1329</v>
      </c>
      <c r="D109" s="6">
        <v>1</v>
      </c>
      <c r="E109" s="6" t="s">
        <v>1257</v>
      </c>
      <c r="F109" s="6" t="s">
        <v>64</v>
      </c>
      <c r="G109" s="6"/>
      <c r="H109" s="9" t="s">
        <v>1264</v>
      </c>
      <c r="I109" s="9"/>
      <c r="J109" s="9"/>
      <c r="K109" s="9"/>
      <c r="L109" s="9"/>
      <c r="M109" s="9"/>
      <c r="N109" s="12"/>
      <c r="O109" s="12" t="s">
        <v>236</v>
      </c>
      <c r="P109" s="6" t="s">
        <v>1330</v>
      </c>
    </row>
    <row r="110" spans="1:16" x14ac:dyDescent="0.25">
      <c r="A110" s="6" t="s">
        <v>1331</v>
      </c>
      <c r="B110" s="6" t="s">
        <v>1255</v>
      </c>
      <c r="C110" s="6" t="s">
        <v>1329</v>
      </c>
      <c r="D110" s="6">
        <v>2</v>
      </c>
      <c r="E110" s="6" t="s">
        <v>1257</v>
      </c>
      <c r="F110" s="6" t="s">
        <v>64</v>
      </c>
      <c r="G110" s="6" t="s">
        <v>1332</v>
      </c>
      <c r="H110" s="9" t="s">
        <v>1332</v>
      </c>
      <c r="I110" s="9"/>
      <c r="J110" s="9"/>
      <c r="K110" s="9"/>
      <c r="L110" s="9"/>
      <c r="M110" s="9"/>
      <c r="N110" s="12"/>
      <c r="O110" s="12" t="s">
        <v>236</v>
      </c>
      <c r="P110" s="6" t="s">
        <v>1330</v>
      </c>
    </row>
    <row r="111" spans="1:16" x14ac:dyDescent="0.25">
      <c r="A111" s="6" t="s">
        <v>1333</v>
      </c>
      <c r="B111" s="6" t="s">
        <v>1255</v>
      </c>
      <c r="C111" s="6" t="s">
        <v>1329</v>
      </c>
      <c r="D111" s="6">
        <v>3</v>
      </c>
      <c r="E111" s="6" t="s">
        <v>1257</v>
      </c>
      <c r="F111" s="6" t="s">
        <v>64</v>
      </c>
      <c r="G111" s="6" t="s">
        <v>1332</v>
      </c>
      <c r="H111" s="9" t="s">
        <v>1334</v>
      </c>
      <c r="I111" s="9"/>
      <c r="J111" s="9"/>
      <c r="K111" s="9"/>
      <c r="L111" s="9"/>
      <c r="M111" s="9"/>
      <c r="N111" s="12"/>
      <c r="O111" s="12" t="s">
        <v>236</v>
      </c>
      <c r="P111" s="6" t="s">
        <v>1330</v>
      </c>
    </row>
    <row r="112" spans="1:16" x14ac:dyDescent="0.25">
      <c r="A112" s="6" t="s">
        <v>1335</v>
      </c>
      <c r="B112" s="6" t="s">
        <v>1255</v>
      </c>
      <c r="C112" s="6" t="s">
        <v>1329</v>
      </c>
      <c r="D112" s="6">
        <v>4</v>
      </c>
      <c r="E112" s="6" t="s">
        <v>1257</v>
      </c>
      <c r="F112" s="6" t="s">
        <v>64</v>
      </c>
      <c r="G112" s="6" t="s">
        <v>1332</v>
      </c>
      <c r="H112" s="9" t="s">
        <v>1336</v>
      </c>
      <c r="I112" s="9" t="s">
        <v>102</v>
      </c>
      <c r="J112" s="9" t="s">
        <v>1337</v>
      </c>
      <c r="K112" s="9"/>
      <c r="L112" s="9"/>
      <c r="M112" s="9"/>
      <c r="N112" s="12"/>
      <c r="O112" s="12" t="s">
        <v>236</v>
      </c>
      <c r="P112" s="6" t="s">
        <v>1330</v>
      </c>
    </row>
    <row r="113" spans="1:16" ht="25.5" x14ac:dyDescent="0.25">
      <c r="A113" s="6" t="s">
        <v>420</v>
      </c>
      <c r="B113" s="6" t="s">
        <v>1255</v>
      </c>
      <c r="C113" s="6" t="s">
        <v>1329</v>
      </c>
      <c r="D113" s="6">
        <v>5</v>
      </c>
      <c r="E113" s="6" t="s">
        <v>1271</v>
      </c>
      <c r="F113" s="6" t="s">
        <v>64</v>
      </c>
      <c r="G113" s="6" t="s">
        <v>1332</v>
      </c>
      <c r="H113" s="9" t="s">
        <v>1338</v>
      </c>
      <c r="I113" s="9" t="s">
        <v>1339</v>
      </c>
      <c r="J113" s="9" t="s">
        <v>1340</v>
      </c>
      <c r="K113" s="9"/>
      <c r="L113" s="9"/>
      <c r="M113" s="9"/>
      <c r="N113" s="12" t="s">
        <v>406</v>
      </c>
      <c r="O113" s="12" t="s">
        <v>1275</v>
      </c>
      <c r="P113" s="6" t="s">
        <v>1341</v>
      </c>
    </row>
    <row r="114" spans="1:16" ht="25.5" x14ac:dyDescent="0.25">
      <c r="A114" s="6" t="s">
        <v>433</v>
      </c>
      <c r="B114" s="6" t="s">
        <v>1255</v>
      </c>
      <c r="C114" s="6" t="s">
        <v>1329</v>
      </c>
      <c r="D114" s="6">
        <v>5</v>
      </c>
      <c r="E114" s="6" t="s">
        <v>1271</v>
      </c>
      <c r="F114" s="6" t="s">
        <v>64</v>
      </c>
      <c r="G114" s="6" t="s">
        <v>1332</v>
      </c>
      <c r="H114" s="9" t="s">
        <v>1342</v>
      </c>
      <c r="I114" s="9" t="s">
        <v>1343</v>
      </c>
      <c r="J114" s="9"/>
      <c r="K114" s="9" t="s">
        <v>1344</v>
      </c>
      <c r="L114" s="9" t="s">
        <v>65</v>
      </c>
      <c r="M114" s="9" t="s">
        <v>65</v>
      </c>
      <c r="N114" s="12" t="s">
        <v>422</v>
      </c>
      <c r="O114" s="12" t="s">
        <v>1275</v>
      </c>
      <c r="P114" s="6" t="s">
        <v>1341</v>
      </c>
    </row>
    <row r="115" spans="1:16" x14ac:dyDescent="0.25">
      <c r="A115" s="6" t="s">
        <v>437</v>
      </c>
      <c r="B115" s="6" t="s">
        <v>1255</v>
      </c>
      <c r="C115" s="6" t="s">
        <v>1329</v>
      </c>
      <c r="D115" s="6">
        <v>6</v>
      </c>
      <c r="E115" s="6" t="s">
        <v>1271</v>
      </c>
      <c r="F115" s="6" t="s">
        <v>64</v>
      </c>
      <c r="G115" s="6" t="s">
        <v>1332</v>
      </c>
      <c r="H115" s="9" t="s">
        <v>1345</v>
      </c>
      <c r="I115" s="9" t="s">
        <v>1346</v>
      </c>
      <c r="J115" s="9"/>
      <c r="K115" s="9" t="s">
        <v>1344</v>
      </c>
      <c r="L115" s="9" t="s">
        <v>65</v>
      </c>
      <c r="M115" s="9" t="s">
        <v>65</v>
      </c>
      <c r="N115" s="12" t="s">
        <v>435</v>
      </c>
      <c r="O115" s="12" t="s">
        <v>1275</v>
      </c>
      <c r="P115" s="6" t="s">
        <v>1341</v>
      </c>
    </row>
    <row r="116" spans="1:16" x14ac:dyDescent="0.25">
      <c r="A116" s="6" t="s">
        <v>441</v>
      </c>
      <c r="B116" s="6" t="s">
        <v>1255</v>
      </c>
      <c r="C116" s="6" t="s">
        <v>1329</v>
      </c>
      <c r="D116" s="6">
        <v>7</v>
      </c>
      <c r="E116" s="6" t="s">
        <v>1271</v>
      </c>
      <c r="F116" s="6" t="s">
        <v>64</v>
      </c>
      <c r="G116" s="6" t="s">
        <v>1332</v>
      </c>
      <c r="H116" s="9" t="s">
        <v>1347</v>
      </c>
      <c r="I116" s="9" t="s">
        <v>1348</v>
      </c>
      <c r="J116" s="9"/>
      <c r="K116" s="9" t="s">
        <v>1344</v>
      </c>
      <c r="L116" s="9" t="s">
        <v>65</v>
      </c>
      <c r="M116" s="9" t="s">
        <v>439</v>
      </c>
      <c r="N116" s="12" t="s">
        <v>438</v>
      </c>
      <c r="O116" s="12" t="s">
        <v>1275</v>
      </c>
      <c r="P116" s="6" t="s">
        <v>1341</v>
      </c>
    </row>
    <row r="117" spans="1:16" x14ac:dyDescent="0.25">
      <c r="A117" s="6" t="s">
        <v>444</v>
      </c>
      <c r="B117" s="6" t="s">
        <v>1255</v>
      </c>
      <c r="C117" s="6" t="s">
        <v>1329</v>
      </c>
      <c r="D117" s="6">
        <v>8</v>
      </c>
      <c r="E117" s="6" t="s">
        <v>1271</v>
      </c>
      <c r="F117" s="6" t="s">
        <v>64</v>
      </c>
      <c r="G117" s="6" t="s">
        <v>1332</v>
      </c>
      <c r="H117" s="9" t="s">
        <v>1349</v>
      </c>
      <c r="I117" s="9" t="s">
        <v>1350</v>
      </c>
      <c r="J117" s="9"/>
      <c r="K117" s="9" t="s">
        <v>1344</v>
      </c>
      <c r="L117" s="9" t="s">
        <v>65</v>
      </c>
      <c r="M117" s="9" t="s">
        <v>65</v>
      </c>
      <c r="N117" s="12" t="s">
        <v>442</v>
      </c>
      <c r="O117" s="12" t="s">
        <v>1275</v>
      </c>
      <c r="P117" s="6" t="s">
        <v>1341</v>
      </c>
    </row>
    <row r="118" spans="1:16" ht="25.5" x14ac:dyDescent="0.25">
      <c r="A118" s="6" t="s">
        <v>448</v>
      </c>
      <c r="B118" s="6" t="s">
        <v>1255</v>
      </c>
      <c r="C118" s="6" t="s">
        <v>1329</v>
      </c>
      <c r="D118" s="6">
        <v>9</v>
      </c>
      <c r="E118" s="6" t="s">
        <v>1271</v>
      </c>
      <c r="F118" s="6" t="s">
        <v>64</v>
      </c>
      <c r="G118" s="6" t="s">
        <v>1332</v>
      </c>
      <c r="H118" s="9" t="s">
        <v>1351</v>
      </c>
      <c r="I118" s="9" t="s">
        <v>1352</v>
      </c>
      <c r="J118" s="9" t="s">
        <v>1353</v>
      </c>
      <c r="K118" s="9"/>
      <c r="L118" s="9"/>
      <c r="M118" s="9"/>
      <c r="N118" s="12" t="s">
        <v>445</v>
      </c>
      <c r="O118" s="12" t="s">
        <v>1275</v>
      </c>
      <c r="P118" s="6" t="s">
        <v>1341</v>
      </c>
    </row>
    <row r="119" spans="1:16" ht="25.5" x14ac:dyDescent="0.25">
      <c r="A119" s="6" t="s">
        <v>451</v>
      </c>
      <c r="B119" s="6" t="s">
        <v>1255</v>
      </c>
      <c r="C119" s="6" t="s">
        <v>1329</v>
      </c>
      <c r="D119" s="6">
        <v>10</v>
      </c>
      <c r="E119" s="6" t="s">
        <v>1271</v>
      </c>
      <c r="F119" s="6" t="s">
        <v>64</v>
      </c>
      <c r="G119" s="6" t="s">
        <v>1332</v>
      </c>
      <c r="H119" s="9" t="s">
        <v>1354</v>
      </c>
      <c r="I119" s="9" t="s">
        <v>1355</v>
      </c>
      <c r="J119" s="9" t="s">
        <v>1340</v>
      </c>
      <c r="K119" s="9"/>
      <c r="L119" s="9"/>
      <c r="M119" s="9"/>
      <c r="N119" s="12" t="s">
        <v>449</v>
      </c>
      <c r="O119" s="12" t="s">
        <v>1275</v>
      </c>
      <c r="P119" s="6" t="s">
        <v>1341</v>
      </c>
    </row>
    <row r="120" spans="1:16" ht="38.25" x14ac:dyDescent="0.25">
      <c r="A120" s="6" t="s">
        <v>454</v>
      </c>
      <c r="B120" s="6" t="s">
        <v>1255</v>
      </c>
      <c r="C120" s="6" t="s">
        <v>1329</v>
      </c>
      <c r="D120" s="6">
        <v>10</v>
      </c>
      <c r="E120" s="6" t="s">
        <v>1271</v>
      </c>
      <c r="F120" s="6" t="s">
        <v>64</v>
      </c>
      <c r="G120" s="6" t="s">
        <v>1332</v>
      </c>
      <c r="H120" s="9" t="s">
        <v>1356</v>
      </c>
      <c r="I120" s="9" t="s">
        <v>1357</v>
      </c>
      <c r="J120" s="9"/>
      <c r="K120" s="9" t="s">
        <v>1358</v>
      </c>
      <c r="L120" s="9" t="s">
        <v>65</v>
      </c>
      <c r="M120" s="9" t="s">
        <v>65</v>
      </c>
      <c r="N120" s="12" t="s">
        <v>452</v>
      </c>
      <c r="O120" s="12" t="s">
        <v>1275</v>
      </c>
      <c r="P120" s="6" t="s">
        <v>1341</v>
      </c>
    </row>
    <row r="121" spans="1:16" ht="38.25" x14ac:dyDescent="0.25">
      <c r="A121" s="6" t="s">
        <v>457</v>
      </c>
      <c r="B121" s="6" t="s">
        <v>1255</v>
      </c>
      <c r="C121" s="6" t="s">
        <v>1329</v>
      </c>
      <c r="D121" s="6">
        <v>11</v>
      </c>
      <c r="E121" s="6" t="s">
        <v>1271</v>
      </c>
      <c r="F121" s="6" t="s">
        <v>64</v>
      </c>
      <c r="G121" s="6" t="s">
        <v>1332</v>
      </c>
      <c r="H121" s="9" t="s">
        <v>1359</v>
      </c>
      <c r="I121" s="9" t="s">
        <v>1360</v>
      </c>
      <c r="J121" s="9" t="s">
        <v>1340</v>
      </c>
      <c r="K121" s="9"/>
      <c r="L121" s="9"/>
      <c r="M121" s="9"/>
      <c r="N121" s="12" t="s">
        <v>455</v>
      </c>
      <c r="O121" s="12" t="s">
        <v>1275</v>
      </c>
      <c r="P121" s="6" t="s">
        <v>1341</v>
      </c>
    </row>
    <row r="122" spans="1:16" x14ac:dyDescent="0.25">
      <c r="A122" s="6" t="s">
        <v>460</v>
      </c>
      <c r="B122" s="6" t="s">
        <v>1255</v>
      </c>
      <c r="C122" s="6" t="s">
        <v>1329</v>
      </c>
      <c r="D122" s="6">
        <v>11</v>
      </c>
      <c r="E122" s="6" t="s">
        <v>1271</v>
      </c>
      <c r="F122" s="6" t="s">
        <v>64</v>
      </c>
      <c r="G122" s="6" t="s">
        <v>1332</v>
      </c>
      <c r="H122" s="9" t="s">
        <v>1361</v>
      </c>
      <c r="I122" s="9" t="s">
        <v>1362</v>
      </c>
      <c r="J122" s="9"/>
      <c r="K122" s="9" t="s">
        <v>1363</v>
      </c>
      <c r="L122" s="9" t="s">
        <v>65</v>
      </c>
      <c r="M122" s="9" t="s">
        <v>65</v>
      </c>
      <c r="N122" s="12" t="s">
        <v>458</v>
      </c>
      <c r="O122" s="12" t="s">
        <v>1275</v>
      </c>
      <c r="P122" s="6" t="s">
        <v>1341</v>
      </c>
    </row>
    <row r="123" spans="1:16" ht="25.5" x14ac:dyDescent="0.25">
      <c r="A123" s="6" t="s">
        <v>463</v>
      </c>
      <c r="B123" s="6" t="s">
        <v>1255</v>
      </c>
      <c r="C123" s="6" t="s">
        <v>1329</v>
      </c>
      <c r="D123" s="6">
        <v>12</v>
      </c>
      <c r="E123" s="6" t="s">
        <v>1271</v>
      </c>
      <c r="F123" s="6" t="s">
        <v>64</v>
      </c>
      <c r="G123" s="6" t="s">
        <v>1332</v>
      </c>
      <c r="H123" s="9" t="s">
        <v>1364</v>
      </c>
      <c r="I123" s="9" t="s">
        <v>1365</v>
      </c>
      <c r="J123" s="9"/>
      <c r="K123" s="9" t="s">
        <v>1363</v>
      </c>
      <c r="L123" s="9" t="s">
        <v>65</v>
      </c>
      <c r="M123" s="9" t="s">
        <v>65</v>
      </c>
      <c r="N123" s="12" t="s">
        <v>461</v>
      </c>
      <c r="O123" s="12" t="s">
        <v>1275</v>
      </c>
      <c r="P123" s="6" t="s">
        <v>1341</v>
      </c>
    </row>
    <row r="124" spans="1:16" ht="25.5" x14ac:dyDescent="0.25">
      <c r="A124" s="6" t="s">
        <v>466</v>
      </c>
      <c r="B124" s="6" t="s">
        <v>1255</v>
      </c>
      <c r="C124" s="6" t="s">
        <v>1329</v>
      </c>
      <c r="D124" s="6">
        <v>13</v>
      </c>
      <c r="E124" s="6" t="s">
        <v>1271</v>
      </c>
      <c r="F124" s="6" t="s">
        <v>64</v>
      </c>
      <c r="G124" s="6" t="s">
        <v>1332</v>
      </c>
      <c r="H124" s="9" t="s">
        <v>1366</v>
      </c>
      <c r="I124" s="9" t="s">
        <v>1367</v>
      </c>
      <c r="J124" s="9" t="s">
        <v>1353</v>
      </c>
      <c r="K124" s="9"/>
      <c r="L124" s="9"/>
      <c r="M124" s="9"/>
      <c r="N124" s="12" t="s">
        <v>464</v>
      </c>
      <c r="O124" s="12" t="s">
        <v>1275</v>
      </c>
      <c r="P124" s="6" t="s">
        <v>1341</v>
      </c>
    </row>
    <row r="125" spans="1:16" x14ac:dyDescent="0.25">
      <c r="A125" s="6" t="s">
        <v>469</v>
      </c>
      <c r="B125" s="6" t="s">
        <v>1255</v>
      </c>
      <c r="C125" s="6" t="s">
        <v>1329</v>
      </c>
      <c r="D125" s="6">
        <v>14</v>
      </c>
      <c r="E125" s="6" t="s">
        <v>1271</v>
      </c>
      <c r="F125" s="6" t="s">
        <v>64</v>
      </c>
      <c r="G125" s="6" t="s">
        <v>1332</v>
      </c>
      <c r="H125" s="9" t="s">
        <v>1368</v>
      </c>
      <c r="I125" s="9" t="s">
        <v>1369</v>
      </c>
      <c r="J125" s="9" t="s">
        <v>1340</v>
      </c>
      <c r="K125" s="9"/>
      <c r="L125" s="9"/>
      <c r="M125" s="9"/>
      <c r="N125" s="12" t="s">
        <v>467</v>
      </c>
      <c r="O125" s="12" t="s">
        <v>1275</v>
      </c>
      <c r="P125" s="6" t="s">
        <v>1341</v>
      </c>
    </row>
    <row r="126" spans="1:16" x14ac:dyDescent="0.25">
      <c r="A126" s="6" t="s">
        <v>472</v>
      </c>
      <c r="B126" s="6" t="s">
        <v>1255</v>
      </c>
      <c r="C126" s="6" t="s">
        <v>1329</v>
      </c>
      <c r="D126" s="6">
        <v>14</v>
      </c>
      <c r="E126" s="6" t="s">
        <v>1271</v>
      </c>
      <c r="F126" s="6" t="s">
        <v>64</v>
      </c>
      <c r="G126" s="6" t="s">
        <v>1332</v>
      </c>
      <c r="H126" s="9" t="s">
        <v>1370</v>
      </c>
      <c r="I126" s="9" t="s">
        <v>1371</v>
      </c>
      <c r="J126" s="9"/>
      <c r="K126" s="9" t="s">
        <v>1372</v>
      </c>
      <c r="L126" s="9" t="s">
        <v>65</v>
      </c>
      <c r="M126" s="9" t="s">
        <v>65</v>
      </c>
      <c r="N126" s="12" t="s">
        <v>470</v>
      </c>
      <c r="O126" s="12" t="s">
        <v>1275</v>
      </c>
      <c r="P126" s="6" t="s">
        <v>1341</v>
      </c>
    </row>
    <row r="127" spans="1:16" ht="25.5" x14ac:dyDescent="0.25">
      <c r="A127" s="6" t="s">
        <v>475</v>
      </c>
      <c r="B127" s="6" t="s">
        <v>1255</v>
      </c>
      <c r="C127" s="6" t="s">
        <v>1329</v>
      </c>
      <c r="D127" s="6">
        <v>15</v>
      </c>
      <c r="E127" s="6" t="s">
        <v>1271</v>
      </c>
      <c r="F127" s="6" t="s">
        <v>64</v>
      </c>
      <c r="G127" s="6" t="s">
        <v>1332</v>
      </c>
      <c r="H127" s="9" t="s">
        <v>1373</v>
      </c>
      <c r="I127" s="9" t="s">
        <v>1374</v>
      </c>
      <c r="J127" s="9" t="s">
        <v>1340</v>
      </c>
      <c r="K127" s="9"/>
      <c r="L127" s="9"/>
      <c r="M127" s="9"/>
      <c r="N127" s="12" t="s">
        <v>473</v>
      </c>
      <c r="O127" s="12" t="s">
        <v>1275</v>
      </c>
      <c r="P127" s="6" t="s">
        <v>1341</v>
      </c>
    </row>
    <row r="128" spans="1:16" ht="25.5" x14ac:dyDescent="0.25">
      <c r="A128" s="6" t="s">
        <v>478</v>
      </c>
      <c r="B128" s="6" t="s">
        <v>1255</v>
      </c>
      <c r="C128" s="6" t="s">
        <v>1329</v>
      </c>
      <c r="D128" s="6">
        <v>15</v>
      </c>
      <c r="E128" s="6" t="s">
        <v>1271</v>
      </c>
      <c r="F128" s="6" t="s">
        <v>64</v>
      </c>
      <c r="G128" s="6" t="s">
        <v>1332</v>
      </c>
      <c r="H128" s="9" t="s">
        <v>1375</v>
      </c>
      <c r="I128" s="9" t="s">
        <v>1376</v>
      </c>
      <c r="J128" s="9"/>
      <c r="K128" s="9" t="s">
        <v>1377</v>
      </c>
      <c r="L128" s="9" t="s">
        <v>65</v>
      </c>
      <c r="M128" s="9" t="s">
        <v>439</v>
      </c>
      <c r="N128" s="12" t="s">
        <v>476</v>
      </c>
      <c r="O128" s="12" t="s">
        <v>1275</v>
      </c>
      <c r="P128" s="6" t="s">
        <v>1341</v>
      </c>
    </row>
    <row r="129" spans="1:16" x14ac:dyDescent="0.25">
      <c r="A129" s="6" t="s">
        <v>481</v>
      </c>
      <c r="B129" s="6" t="s">
        <v>1255</v>
      </c>
      <c r="C129" s="6" t="s">
        <v>1329</v>
      </c>
      <c r="D129" s="6">
        <v>16</v>
      </c>
      <c r="E129" s="6" t="s">
        <v>1271</v>
      </c>
      <c r="F129" s="6" t="s">
        <v>64</v>
      </c>
      <c r="G129" s="6" t="s">
        <v>1332</v>
      </c>
      <c r="H129" s="9" t="s">
        <v>1378</v>
      </c>
      <c r="I129" s="9" t="s">
        <v>1379</v>
      </c>
      <c r="J129" s="9"/>
      <c r="K129" s="9" t="s">
        <v>1377</v>
      </c>
      <c r="L129" s="9" t="s">
        <v>65</v>
      </c>
      <c r="M129" s="9" t="s">
        <v>439</v>
      </c>
      <c r="N129" s="12" t="s">
        <v>479</v>
      </c>
      <c r="O129" s="12" t="s">
        <v>1275</v>
      </c>
      <c r="P129" s="6" t="s">
        <v>1341</v>
      </c>
    </row>
    <row r="130" spans="1:16" x14ac:dyDescent="0.25">
      <c r="A130" s="6" t="s">
        <v>1380</v>
      </c>
      <c r="B130" s="6" t="s">
        <v>1255</v>
      </c>
      <c r="C130" s="6" t="s">
        <v>1329</v>
      </c>
      <c r="D130" s="6">
        <v>18</v>
      </c>
      <c r="E130" s="6" t="s">
        <v>1257</v>
      </c>
      <c r="F130" s="6" t="s">
        <v>64</v>
      </c>
      <c r="G130" s="6"/>
      <c r="H130" s="9" t="s">
        <v>1264</v>
      </c>
      <c r="I130" s="9"/>
      <c r="J130" s="9"/>
      <c r="K130" s="9"/>
      <c r="L130" s="9"/>
      <c r="M130" s="9"/>
      <c r="N130" s="12"/>
      <c r="O130" s="12" t="s">
        <v>236</v>
      </c>
      <c r="P130" s="6" t="s">
        <v>1330</v>
      </c>
    </row>
    <row r="131" spans="1:16" ht="38.25" x14ac:dyDescent="0.25">
      <c r="A131" s="6" t="s">
        <v>1381</v>
      </c>
      <c r="B131" s="6" t="s">
        <v>1255</v>
      </c>
      <c r="C131" s="6" t="s">
        <v>1329</v>
      </c>
      <c r="D131" s="6">
        <v>19</v>
      </c>
      <c r="E131" s="6" t="s">
        <v>1257</v>
      </c>
      <c r="F131" s="6" t="s">
        <v>64</v>
      </c>
      <c r="G131" s="6" t="s">
        <v>1382</v>
      </c>
      <c r="H131" s="9" t="s">
        <v>1383</v>
      </c>
      <c r="I131" s="9"/>
      <c r="J131" s="9"/>
      <c r="K131" s="9"/>
      <c r="L131" s="9"/>
      <c r="M131" s="9"/>
      <c r="N131" s="12"/>
      <c r="O131" s="12" t="s">
        <v>236</v>
      </c>
      <c r="P131" s="6" t="s">
        <v>1330</v>
      </c>
    </row>
    <row r="132" spans="1:16" x14ac:dyDescent="0.25">
      <c r="A132" s="6" t="s">
        <v>1384</v>
      </c>
      <c r="B132" s="6" t="s">
        <v>1255</v>
      </c>
      <c r="C132" s="6" t="s">
        <v>1329</v>
      </c>
      <c r="D132" s="6">
        <v>20</v>
      </c>
      <c r="E132" s="6" t="s">
        <v>1257</v>
      </c>
      <c r="F132" s="6" t="s">
        <v>64</v>
      </c>
      <c r="G132" s="6" t="s">
        <v>1382</v>
      </c>
      <c r="H132" s="9" t="s">
        <v>1334</v>
      </c>
      <c r="I132" s="9"/>
      <c r="J132" s="9"/>
      <c r="K132" s="9"/>
      <c r="L132" s="9"/>
      <c r="M132" s="9"/>
      <c r="N132" s="12"/>
      <c r="O132" s="12" t="s">
        <v>236</v>
      </c>
      <c r="P132" s="6" t="s">
        <v>1330</v>
      </c>
    </row>
    <row r="133" spans="1:16" x14ac:dyDescent="0.25">
      <c r="A133" s="6" t="s">
        <v>1385</v>
      </c>
      <c r="B133" s="6" t="s">
        <v>1255</v>
      </c>
      <c r="C133" s="6" t="s">
        <v>1329</v>
      </c>
      <c r="D133" s="6">
        <v>21</v>
      </c>
      <c r="E133" s="6" t="s">
        <v>1257</v>
      </c>
      <c r="F133" s="6" t="s">
        <v>64</v>
      </c>
      <c r="G133" s="6" t="s">
        <v>1382</v>
      </c>
      <c r="H133" s="9" t="s">
        <v>1336</v>
      </c>
      <c r="I133" s="9" t="s">
        <v>102</v>
      </c>
      <c r="J133" s="9" t="s">
        <v>1337</v>
      </c>
      <c r="K133" s="9"/>
      <c r="L133" s="9"/>
      <c r="M133" s="9"/>
      <c r="N133" s="12"/>
      <c r="O133" s="12" t="s">
        <v>236</v>
      </c>
      <c r="P133" s="6" t="s">
        <v>1330</v>
      </c>
    </row>
    <row r="134" spans="1:16" ht="25.5" x14ac:dyDescent="0.25">
      <c r="A134" s="6" t="s">
        <v>485</v>
      </c>
      <c r="B134" s="6" t="s">
        <v>1255</v>
      </c>
      <c r="C134" s="6" t="s">
        <v>1329</v>
      </c>
      <c r="D134" s="6">
        <v>22</v>
      </c>
      <c r="E134" s="6" t="s">
        <v>1271</v>
      </c>
      <c r="F134" s="6" t="s">
        <v>64</v>
      </c>
      <c r="G134" s="6" t="s">
        <v>1382</v>
      </c>
      <c r="H134" s="9" t="s">
        <v>1373</v>
      </c>
      <c r="I134" s="9" t="s">
        <v>1386</v>
      </c>
      <c r="J134" s="9" t="s">
        <v>1340</v>
      </c>
      <c r="K134" s="9"/>
      <c r="L134" s="9"/>
      <c r="M134" s="9"/>
      <c r="N134" s="12" t="s">
        <v>482</v>
      </c>
      <c r="O134" s="12" t="s">
        <v>1275</v>
      </c>
      <c r="P134" s="6" t="s">
        <v>1341</v>
      </c>
    </row>
    <row r="135" spans="1:16" x14ac:dyDescent="0.25">
      <c r="A135" s="6" t="s">
        <v>488</v>
      </c>
      <c r="B135" s="6" t="s">
        <v>1255</v>
      </c>
      <c r="C135" s="6" t="s">
        <v>1329</v>
      </c>
      <c r="D135" s="6">
        <v>22</v>
      </c>
      <c r="E135" s="6" t="s">
        <v>1271</v>
      </c>
      <c r="F135" s="6" t="s">
        <v>64</v>
      </c>
      <c r="G135" s="6" t="s">
        <v>1382</v>
      </c>
      <c r="H135" s="9" t="s">
        <v>1387</v>
      </c>
      <c r="I135" s="9" t="s">
        <v>1388</v>
      </c>
      <c r="J135" s="9"/>
      <c r="K135" s="9" t="s">
        <v>1377</v>
      </c>
      <c r="L135" s="9" t="s">
        <v>65</v>
      </c>
      <c r="M135" s="9" t="s">
        <v>65</v>
      </c>
      <c r="N135" s="12" t="s">
        <v>486</v>
      </c>
      <c r="O135" s="12" t="s">
        <v>1275</v>
      </c>
      <c r="P135" s="6" t="s">
        <v>1341</v>
      </c>
    </row>
    <row r="136" spans="1:16" x14ac:dyDescent="0.25">
      <c r="A136" s="6" t="s">
        <v>491</v>
      </c>
      <c r="B136" s="6" t="s">
        <v>1255</v>
      </c>
      <c r="C136" s="6" t="s">
        <v>1329</v>
      </c>
      <c r="D136" s="6">
        <v>23</v>
      </c>
      <c r="E136" s="6" t="s">
        <v>1271</v>
      </c>
      <c r="F136" s="6" t="s">
        <v>64</v>
      </c>
      <c r="G136" s="6" t="s">
        <v>1382</v>
      </c>
      <c r="H136" s="9" t="s">
        <v>1389</v>
      </c>
      <c r="I136" s="9" t="s">
        <v>1390</v>
      </c>
      <c r="J136" s="9"/>
      <c r="K136" s="9" t="s">
        <v>1377</v>
      </c>
      <c r="L136" s="9" t="s">
        <v>65</v>
      </c>
      <c r="M136" s="9" t="s">
        <v>65</v>
      </c>
      <c r="N136" s="12" t="s">
        <v>489</v>
      </c>
      <c r="O136" s="12" t="s">
        <v>1275</v>
      </c>
      <c r="P136" s="6" t="s">
        <v>1341</v>
      </c>
    </row>
    <row r="137" spans="1:16" x14ac:dyDescent="0.25">
      <c r="A137" s="6" t="s">
        <v>494</v>
      </c>
      <c r="B137" s="6" t="s">
        <v>1255</v>
      </c>
      <c r="C137" s="6" t="s">
        <v>1329</v>
      </c>
      <c r="D137" s="6">
        <v>24</v>
      </c>
      <c r="E137" s="6" t="s">
        <v>1271</v>
      </c>
      <c r="F137" s="6" t="s">
        <v>64</v>
      </c>
      <c r="G137" s="6" t="s">
        <v>1382</v>
      </c>
      <c r="H137" s="9" t="s">
        <v>1391</v>
      </c>
      <c r="I137" s="9" t="s">
        <v>1392</v>
      </c>
      <c r="J137" s="9"/>
      <c r="K137" s="9" t="s">
        <v>1377</v>
      </c>
      <c r="L137" s="9" t="s">
        <v>65</v>
      </c>
      <c r="M137" s="9" t="s">
        <v>65</v>
      </c>
      <c r="N137" s="12" t="s">
        <v>492</v>
      </c>
      <c r="O137" s="12" t="s">
        <v>1275</v>
      </c>
      <c r="P137" s="6" t="s">
        <v>1341</v>
      </c>
    </row>
    <row r="138" spans="1:16" ht="25.5" x14ac:dyDescent="0.25">
      <c r="A138" s="6" t="s">
        <v>497</v>
      </c>
      <c r="B138" s="6" t="s">
        <v>1255</v>
      </c>
      <c r="C138" s="6" t="s">
        <v>1329</v>
      </c>
      <c r="D138" s="6">
        <v>25</v>
      </c>
      <c r="E138" s="6" t="s">
        <v>1271</v>
      </c>
      <c r="F138" s="6" t="s">
        <v>64</v>
      </c>
      <c r="G138" s="6" t="s">
        <v>1382</v>
      </c>
      <c r="H138" s="9" t="s">
        <v>1338</v>
      </c>
      <c r="I138" s="9" t="s">
        <v>1393</v>
      </c>
      <c r="J138" s="9" t="s">
        <v>1340</v>
      </c>
      <c r="K138" s="9"/>
      <c r="L138" s="9"/>
      <c r="M138" s="9"/>
      <c r="N138" s="12" t="s">
        <v>495</v>
      </c>
      <c r="O138" s="12" t="s">
        <v>1275</v>
      </c>
      <c r="P138" s="6" t="s">
        <v>1341</v>
      </c>
    </row>
    <row r="139" spans="1:16" ht="25.5" x14ac:dyDescent="0.25">
      <c r="A139" s="6" t="s">
        <v>500</v>
      </c>
      <c r="B139" s="6" t="s">
        <v>1255</v>
      </c>
      <c r="C139" s="6" t="s">
        <v>1329</v>
      </c>
      <c r="D139" s="6">
        <v>25</v>
      </c>
      <c r="E139" s="6" t="s">
        <v>1271</v>
      </c>
      <c r="F139" s="6" t="s">
        <v>64</v>
      </c>
      <c r="G139" s="6" t="s">
        <v>1382</v>
      </c>
      <c r="H139" s="9" t="s">
        <v>1394</v>
      </c>
      <c r="I139" s="9" t="s">
        <v>1395</v>
      </c>
      <c r="J139" s="9"/>
      <c r="K139" s="9" t="s">
        <v>1344</v>
      </c>
      <c r="L139" s="9" t="s">
        <v>65</v>
      </c>
      <c r="M139" s="9" t="s">
        <v>65</v>
      </c>
      <c r="N139" s="12" t="s">
        <v>498</v>
      </c>
      <c r="O139" s="12" t="s">
        <v>1275</v>
      </c>
      <c r="P139" s="6" t="s">
        <v>1341</v>
      </c>
    </row>
    <row r="140" spans="1:16" x14ac:dyDescent="0.25">
      <c r="A140" s="6" t="s">
        <v>503</v>
      </c>
      <c r="B140" s="6" t="s">
        <v>1255</v>
      </c>
      <c r="C140" s="6" t="s">
        <v>1329</v>
      </c>
      <c r="D140" s="6">
        <v>26</v>
      </c>
      <c r="E140" s="6" t="s">
        <v>1271</v>
      </c>
      <c r="F140" s="6" t="s">
        <v>64</v>
      </c>
      <c r="G140" s="6" t="s">
        <v>1382</v>
      </c>
      <c r="H140" s="9" t="s">
        <v>1396</v>
      </c>
      <c r="I140" s="9" t="s">
        <v>1397</v>
      </c>
      <c r="J140" s="9"/>
      <c r="K140" s="9" t="s">
        <v>1344</v>
      </c>
      <c r="L140" s="9" t="s">
        <v>65</v>
      </c>
      <c r="M140" s="9" t="s">
        <v>65</v>
      </c>
      <c r="N140" s="12" t="s">
        <v>501</v>
      </c>
      <c r="O140" s="12" t="s">
        <v>1275</v>
      </c>
      <c r="P140" s="6" t="s">
        <v>1341</v>
      </c>
    </row>
    <row r="141" spans="1:16" x14ac:dyDescent="0.25">
      <c r="A141" s="6" t="s">
        <v>506</v>
      </c>
      <c r="B141" s="6" t="s">
        <v>1255</v>
      </c>
      <c r="C141" s="6" t="s">
        <v>1329</v>
      </c>
      <c r="D141" s="6">
        <v>27</v>
      </c>
      <c r="E141" s="6" t="s">
        <v>1271</v>
      </c>
      <c r="F141" s="6" t="s">
        <v>64</v>
      </c>
      <c r="G141" s="6" t="s">
        <v>1382</v>
      </c>
      <c r="H141" s="9" t="s">
        <v>1398</v>
      </c>
      <c r="I141" s="9" t="s">
        <v>1399</v>
      </c>
      <c r="J141" s="9"/>
      <c r="K141" s="9" t="s">
        <v>1344</v>
      </c>
      <c r="L141" s="9" t="s">
        <v>65</v>
      </c>
      <c r="M141" s="9" t="s">
        <v>439</v>
      </c>
      <c r="N141" s="12" t="s">
        <v>504</v>
      </c>
      <c r="O141" s="12" t="s">
        <v>1275</v>
      </c>
      <c r="P141" s="6" t="s">
        <v>1341</v>
      </c>
    </row>
    <row r="142" spans="1:16" x14ac:dyDescent="0.25">
      <c r="A142" s="6" t="s">
        <v>509</v>
      </c>
      <c r="B142" s="6" t="s">
        <v>1255</v>
      </c>
      <c r="C142" s="6" t="s">
        <v>1329</v>
      </c>
      <c r="D142" s="6">
        <v>28</v>
      </c>
      <c r="E142" s="6" t="s">
        <v>1271</v>
      </c>
      <c r="F142" s="6" t="s">
        <v>64</v>
      </c>
      <c r="G142" s="6" t="s">
        <v>1382</v>
      </c>
      <c r="H142" s="9" t="s">
        <v>1400</v>
      </c>
      <c r="I142" s="9" t="s">
        <v>1401</v>
      </c>
      <c r="J142" s="9"/>
      <c r="K142" s="9" t="s">
        <v>1344</v>
      </c>
      <c r="L142" s="9" t="s">
        <v>65</v>
      </c>
      <c r="M142" s="9" t="s">
        <v>65</v>
      </c>
      <c r="N142" s="12" t="s">
        <v>507</v>
      </c>
      <c r="O142" s="12" t="s">
        <v>1275</v>
      </c>
      <c r="P142" s="6" t="s">
        <v>1341</v>
      </c>
    </row>
    <row r="143" spans="1:16" x14ac:dyDescent="0.25">
      <c r="A143" s="6" t="s">
        <v>512</v>
      </c>
      <c r="B143" s="6" t="s">
        <v>1255</v>
      </c>
      <c r="C143" s="6" t="s">
        <v>1329</v>
      </c>
      <c r="D143" s="6">
        <v>29</v>
      </c>
      <c r="E143" s="6" t="s">
        <v>1271</v>
      </c>
      <c r="F143" s="6" t="s">
        <v>64</v>
      </c>
      <c r="G143" s="6" t="s">
        <v>1382</v>
      </c>
      <c r="H143" s="9" t="s">
        <v>1402</v>
      </c>
      <c r="I143" s="9" t="s">
        <v>1403</v>
      </c>
      <c r="J143" s="9"/>
      <c r="K143" s="9" t="s">
        <v>1344</v>
      </c>
      <c r="L143" s="9" t="s">
        <v>65</v>
      </c>
      <c r="M143" s="9" t="s">
        <v>65</v>
      </c>
      <c r="N143" s="12" t="s">
        <v>510</v>
      </c>
      <c r="O143" s="12" t="s">
        <v>1275</v>
      </c>
      <c r="P143" s="6" t="s">
        <v>1341</v>
      </c>
    </row>
    <row r="144" spans="1:16" x14ac:dyDescent="0.25">
      <c r="A144" s="6" t="s">
        <v>515</v>
      </c>
      <c r="B144" s="6" t="s">
        <v>1255</v>
      </c>
      <c r="C144" s="6" t="s">
        <v>1329</v>
      </c>
      <c r="D144" s="6">
        <v>30</v>
      </c>
      <c r="E144" s="6" t="s">
        <v>1271</v>
      </c>
      <c r="F144" s="6" t="s">
        <v>64</v>
      </c>
      <c r="G144" s="6" t="s">
        <v>1382</v>
      </c>
      <c r="H144" s="9" t="s">
        <v>1404</v>
      </c>
      <c r="I144" s="9" t="s">
        <v>1405</v>
      </c>
      <c r="J144" s="9"/>
      <c r="K144" s="9" t="s">
        <v>1344</v>
      </c>
      <c r="L144" s="9" t="s">
        <v>65</v>
      </c>
      <c r="M144" s="9" t="s">
        <v>65</v>
      </c>
      <c r="N144" s="12" t="s">
        <v>513</v>
      </c>
      <c r="O144" s="12" t="s">
        <v>1275</v>
      </c>
      <c r="P144" s="6" t="s">
        <v>1341</v>
      </c>
    </row>
    <row r="145" spans="1:16" x14ac:dyDescent="0.25">
      <c r="A145" s="6" t="s">
        <v>518</v>
      </c>
      <c r="B145" s="6" t="s">
        <v>1255</v>
      </c>
      <c r="C145" s="6" t="s">
        <v>1329</v>
      </c>
      <c r="D145" s="6">
        <v>31</v>
      </c>
      <c r="E145" s="6" t="s">
        <v>1271</v>
      </c>
      <c r="F145" s="6" t="s">
        <v>64</v>
      </c>
      <c r="G145" s="6" t="s">
        <v>1382</v>
      </c>
      <c r="H145" s="9" t="s">
        <v>1406</v>
      </c>
      <c r="I145" s="9" t="s">
        <v>1407</v>
      </c>
      <c r="J145" s="9"/>
      <c r="K145" s="9" t="s">
        <v>1344</v>
      </c>
      <c r="L145" s="9" t="s">
        <v>65</v>
      </c>
      <c r="M145" s="9" t="s">
        <v>65</v>
      </c>
      <c r="N145" s="12" t="s">
        <v>516</v>
      </c>
      <c r="O145" s="12" t="s">
        <v>1275</v>
      </c>
      <c r="P145" s="6" t="s">
        <v>1341</v>
      </c>
    </row>
    <row r="146" spans="1:16" x14ac:dyDescent="0.25">
      <c r="A146" s="6" t="s">
        <v>521</v>
      </c>
      <c r="B146" s="6" t="s">
        <v>1255</v>
      </c>
      <c r="C146" s="6" t="s">
        <v>1329</v>
      </c>
      <c r="D146" s="6">
        <v>32</v>
      </c>
      <c r="E146" s="6" t="s">
        <v>1271</v>
      </c>
      <c r="F146" s="6" t="s">
        <v>64</v>
      </c>
      <c r="G146" s="6" t="s">
        <v>1382</v>
      </c>
      <c r="H146" s="9" t="s">
        <v>1408</v>
      </c>
      <c r="I146" s="9" t="s">
        <v>1409</v>
      </c>
      <c r="J146" s="9"/>
      <c r="K146" s="9" t="s">
        <v>1344</v>
      </c>
      <c r="L146" s="9" t="s">
        <v>65</v>
      </c>
      <c r="M146" s="9" t="s">
        <v>65</v>
      </c>
      <c r="N146" s="12" t="s">
        <v>519</v>
      </c>
      <c r="O146" s="12" t="s">
        <v>1275</v>
      </c>
      <c r="P146" s="6" t="s">
        <v>1341</v>
      </c>
    </row>
    <row r="147" spans="1:16" x14ac:dyDescent="0.25">
      <c r="A147" s="6" t="s">
        <v>524</v>
      </c>
      <c r="B147" s="6" t="s">
        <v>1255</v>
      </c>
      <c r="C147" s="6" t="s">
        <v>1329</v>
      </c>
      <c r="D147" s="6">
        <v>33</v>
      </c>
      <c r="E147" s="6" t="s">
        <v>1271</v>
      </c>
      <c r="F147" s="6" t="s">
        <v>64</v>
      </c>
      <c r="G147" s="6" t="s">
        <v>1382</v>
      </c>
      <c r="H147" s="9" t="s">
        <v>1410</v>
      </c>
      <c r="I147" s="9" t="s">
        <v>1411</v>
      </c>
      <c r="J147" s="9"/>
      <c r="K147" s="9" t="s">
        <v>1344</v>
      </c>
      <c r="L147" s="9" t="s">
        <v>65</v>
      </c>
      <c r="M147" s="9" t="s">
        <v>65</v>
      </c>
      <c r="N147" s="12" t="s">
        <v>522</v>
      </c>
      <c r="O147" s="12" t="s">
        <v>1275</v>
      </c>
      <c r="P147" s="6" t="s">
        <v>1341</v>
      </c>
    </row>
    <row r="148" spans="1:16" ht="25.5" x14ac:dyDescent="0.25">
      <c r="A148" s="6" t="s">
        <v>527</v>
      </c>
      <c r="B148" s="6" t="s">
        <v>1255</v>
      </c>
      <c r="C148" s="6" t="s">
        <v>1329</v>
      </c>
      <c r="D148" s="6">
        <v>34</v>
      </c>
      <c r="E148" s="6" t="s">
        <v>1271</v>
      </c>
      <c r="F148" s="6" t="s">
        <v>64</v>
      </c>
      <c r="G148" s="6" t="s">
        <v>1382</v>
      </c>
      <c r="H148" s="9" t="s">
        <v>1354</v>
      </c>
      <c r="I148" s="9" t="s">
        <v>1412</v>
      </c>
      <c r="J148" s="9" t="s">
        <v>1340</v>
      </c>
      <c r="K148" s="9"/>
      <c r="L148" s="9"/>
      <c r="M148" s="9"/>
      <c r="N148" s="12" t="s">
        <v>525</v>
      </c>
      <c r="O148" s="12" t="s">
        <v>1275</v>
      </c>
      <c r="P148" s="6" t="s">
        <v>1341</v>
      </c>
    </row>
    <row r="149" spans="1:16" ht="25.5" x14ac:dyDescent="0.25">
      <c r="A149" s="6" t="s">
        <v>530</v>
      </c>
      <c r="B149" s="6" t="s">
        <v>1255</v>
      </c>
      <c r="C149" s="6" t="s">
        <v>1329</v>
      </c>
      <c r="D149" s="6">
        <v>34</v>
      </c>
      <c r="E149" s="6" t="s">
        <v>1271</v>
      </c>
      <c r="F149" s="6" t="s">
        <v>64</v>
      </c>
      <c r="G149" s="6" t="s">
        <v>1382</v>
      </c>
      <c r="H149" s="9" t="s">
        <v>1413</v>
      </c>
      <c r="I149" s="9" t="s">
        <v>1414</v>
      </c>
      <c r="J149" s="9"/>
      <c r="K149" s="9" t="s">
        <v>1358</v>
      </c>
      <c r="L149" s="9" t="s">
        <v>65</v>
      </c>
      <c r="M149" s="9" t="s">
        <v>65</v>
      </c>
      <c r="N149" s="12" t="s">
        <v>528</v>
      </c>
      <c r="O149" s="12" t="s">
        <v>1275</v>
      </c>
      <c r="P149" s="6" t="s">
        <v>1341</v>
      </c>
    </row>
    <row r="150" spans="1:16" x14ac:dyDescent="0.25">
      <c r="A150" s="6" t="s">
        <v>533</v>
      </c>
      <c r="B150" s="6" t="s">
        <v>1255</v>
      </c>
      <c r="C150" s="6" t="s">
        <v>1329</v>
      </c>
      <c r="D150" s="6">
        <v>35</v>
      </c>
      <c r="E150" s="6" t="s">
        <v>1271</v>
      </c>
      <c r="F150" s="6" t="s">
        <v>64</v>
      </c>
      <c r="G150" s="6" t="s">
        <v>1382</v>
      </c>
      <c r="H150" s="9" t="s">
        <v>1415</v>
      </c>
      <c r="I150" s="9" t="s">
        <v>1416</v>
      </c>
      <c r="J150" s="9"/>
      <c r="K150" s="9" t="s">
        <v>1358</v>
      </c>
      <c r="L150" s="9" t="s">
        <v>65</v>
      </c>
      <c r="M150" s="9" t="s">
        <v>65</v>
      </c>
      <c r="N150" s="12" t="s">
        <v>531</v>
      </c>
      <c r="O150" s="12" t="s">
        <v>1275</v>
      </c>
      <c r="P150" s="6" t="s">
        <v>1341</v>
      </c>
    </row>
    <row r="151" spans="1:16" ht="25.5" x14ac:dyDescent="0.25">
      <c r="A151" s="6" t="s">
        <v>536</v>
      </c>
      <c r="B151" s="6" t="s">
        <v>1255</v>
      </c>
      <c r="C151" s="6" t="s">
        <v>1329</v>
      </c>
      <c r="D151" s="6">
        <v>36</v>
      </c>
      <c r="E151" s="6" t="s">
        <v>1271</v>
      </c>
      <c r="F151" s="6" t="s">
        <v>64</v>
      </c>
      <c r="G151" s="6" t="s">
        <v>1382</v>
      </c>
      <c r="H151" s="9" t="s">
        <v>1359</v>
      </c>
      <c r="I151" s="9" t="s">
        <v>1417</v>
      </c>
      <c r="J151" s="9" t="s">
        <v>1340</v>
      </c>
      <c r="K151" s="9"/>
      <c r="L151" s="9"/>
      <c r="M151" s="9"/>
      <c r="N151" s="12" t="s">
        <v>534</v>
      </c>
      <c r="O151" s="12" t="s">
        <v>1275</v>
      </c>
      <c r="P151" s="6" t="s">
        <v>1341</v>
      </c>
    </row>
    <row r="152" spans="1:16" x14ac:dyDescent="0.25">
      <c r="A152" s="6" t="s">
        <v>539</v>
      </c>
      <c r="B152" s="6" t="s">
        <v>1255</v>
      </c>
      <c r="C152" s="6" t="s">
        <v>1329</v>
      </c>
      <c r="D152" s="6">
        <v>36</v>
      </c>
      <c r="E152" s="6" t="s">
        <v>1271</v>
      </c>
      <c r="F152" s="6" t="s">
        <v>64</v>
      </c>
      <c r="G152" s="6" t="s">
        <v>1382</v>
      </c>
      <c r="H152" s="9" t="s">
        <v>1418</v>
      </c>
      <c r="I152" s="9" t="s">
        <v>1419</v>
      </c>
      <c r="J152" s="9"/>
      <c r="K152" s="9" t="s">
        <v>1363</v>
      </c>
      <c r="L152" s="9" t="s">
        <v>65</v>
      </c>
      <c r="M152" s="9" t="s">
        <v>65</v>
      </c>
      <c r="N152" s="12" t="s">
        <v>537</v>
      </c>
      <c r="O152" s="12" t="s">
        <v>1275</v>
      </c>
      <c r="P152" s="6" t="s">
        <v>1341</v>
      </c>
    </row>
    <row r="153" spans="1:16" x14ac:dyDescent="0.25">
      <c r="A153" s="6" t="s">
        <v>542</v>
      </c>
      <c r="B153" s="6" t="s">
        <v>1255</v>
      </c>
      <c r="C153" s="6" t="s">
        <v>1329</v>
      </c>
      <c r="D153" s="6">
        <v>37</v>
      </c>
      <c r="E153" s="6" t="s">
        <v>1271</v>
      </c>
      <c r="F153" s="6" t="s">
        <v>64</v>
      </c>
      <c r="G153" s="6" t="s">
        <v>1382</v>
      </c>
      <c r="H153" s="9" t="s">
        <v>1420</v>
      </c>
      <c r="I153" s="9" t="s">
        <v>1421</v>
      </c>
      <c r="J153" s="9"/>
      <c r="K153" s="9" t="s">
        <v>1363</v>
      </c>
      <c r="L153" s="9" t="s">
        <v>65</v>
      </c>
      <c r="M153" s="9" t="s">
        <v>65</v>
      </c>
      <c r="N153" s="12" t="s">
        <v>540</v>
      </c>
      <c r="O153" s="12" t="s">
        <v>1275</v>
      </c>
      <c r="P153" s="6" t="s">
        <v>1341</v>
      </c>
    </row>
    <row r="154" spans="1:16" ht="25.5" x14ac:dyDescent="0.25">
      <c r="A154" s="6" t="s">
        <v>545</v>
      </c>
      <c r="B154" s="6" t="s">
        <v>1255</v>
      </c>
      <c r="C154" s="6" t="s">
        <v>1329</v>
      </c>
      <c r="D154" s="6">
        <v>38</v>
      </c>
      <c r="E154" s="6" t="s">
        <v>1271</v>
      </c>
      <c r="F154" s="6" t="s">
        <v>64</v>
      </c>
      <c r="G154" s="6" t="s">
        <v>1382</v>
      </c>
      <c r="H154" s="9" t="s">
        <v>1422</v>
      </c>
      <c r="I154" s="9" t="s">
        <v>1423</v>
      </c>
      <c r="J154" s="9"/>
      <c r="K154" s="9" t="s">
        <v>1363</v>
      </c>
      <c r="L154" s="9" t="s">
        <v>65</v>
      </c>
      <c r="M154" s="9" t="s">
        <v>65</v>
      </c>
      <c r="N154" s="12" t="s">
        <v>543</v>
      </c>
      <c r="O154" s="12" t="s">
        <v>1275</v>
      </c>
      <c r="P154" s="6" t="s">
        <v>1341</v>
      </c>
    </row>
    <row r="155" spans="1:16" x14ac:dyDescent="0.25">
      <c r="A155" s="6" t="s">
        <v>548</v>
      </c>
      <c r="B155" s="6" t="s">
        <v>1255</v>
      </c>
      <c r="C155" s="6" t="s">
        <v>1329</v>
      </c>
      <c r="D155" s="6">
        <v>39</v>
      </c>
      <c r="E155" s="6" t="s">
        <v>1271</v>
      </c>
      <c r="F155" s="6" t="s">
        <v>64</v>
      </c>
      <c r="G155" s="6" t="s">
        <v>1382</v>
      </c>
      <c r="H155" s="9" t="s">
        <v>1424</v>
      </c>
      <c r="I155" s="9" t="s">
        <v>1425</v>
      </c>
      <c r="J155" s="9"/>
      <c r="K155" s="9" t="s">
        <v>1363</v>
      </c>
      <c r="L155" s="9" t="s">
        <v>65</v>
      </c>
      <c r="M155" s="9" t="s">
        <v>65</v>
      </c>
      <c r="N155" s="12" t="s">
        <v>546</v>
      </c>
      <c r="O155" s="12" t="s">
        <v>1275</v>
      </c>
      <c r="P155" s="6" t="s">
        <v>1341</v>
      </c>
    </row>
    <row r="156" spans="1:16" ht="25.5" x14ac:dyDescent="0.25">
      <c r="A156" s="6" t="s">
        <v>551</v>
      </c>
      <c r="B156" s="6" t="s">
        <v>1255</v>
      </c>
      <c r="C156" s="6" t="s">
        <v>1329</v>
      </c>
      <c r="D156" s="6">
        <v>40</v>
      </c>
      <c r="E156" s="6" t="s">
        <v>1271</v>
      </c>
      <c r="F156" s="6" t="s">
        <v>64</v>
      </c>
      <c r="G156" s="6" t="s">
        <v>1382</v>
      </c>
      <c r="H156" s="9" t="s">
        <v>1366</v>
      </c>
      <c r="I156" s="9" t="s">
        <v>1426</v>
      </c>
      <c r="J156" s="9" t="s">
        <v>1353</v>
      </c>
      <c r="K156" s="9"/>
      <c r="L156" s="9"/>
      <c r="M156" s="9"/>
      <c r="N156" s="12" t="s">
        <v>549</v>
      </c>
      <c r="O156" s="12" t="s">
        <v>1275</v>
      </c>
      <c r="P156" s="6" t="s">
        <v>1341</v>
      </c>
    </row>
    <row r="157" spans="1:16" x14ac:dyDescent="0.25">
      <c r="A157" s="6" t="s">
        <v>1427</v>
      </c>
      <c r="B157" s="6" t="s">
        <v>1255</v>
      </c>
      <c r="C157" s="6" t="s">
        <v>1329</v>
      </c>
      <c r="D157" s="6">
        <v>43</v>
      </c>
      <c r="E157" s="6" t="s">
        <v>1257</v>
      </c>
      <c r="F157" s="6" t="s">
        <v>161</v>
      </c>
      <c r="G157" s="6"/>
      <c r="H157" s="9" t="s">
        <v>1428</v>
      </c>
      <c r="I157" s="9"/>
      <c r="J157" s="9"/>
      <c r="K157" s="9"/>
      <c r="L157" s="9"/>
      <c r="M157" s="9"/>
      <c r="N157" s="12"/>
      <c r="O157" s="12" t="s">
        <v>236</v>
      </c>
      <c r="P157" s="6" t="s">
        <v>1330</v>
      </c>
    </row>
    <row r="158" spans="1:16" x14ac:dyDescent="0.25">
      <c r="A158" s="6" t="s">
        <v>1429</v>
      </c>
      <c r="B158" s="6" t="s">
        <v>1255</v>
      </c>
      <c r="C158" s="6" t="s">
        <v>1329</v>
      </c>
      <c r="D158" s="6">
        <v>44</v>
      </c>
      <c r="E158" s="6" t="s">
        <v>1257</v>
      </c>
      <c r="F158" s="6" t="s">
        <v>161</v>
      </c>
      <c r="G158" s="6" t="s">
        <v>1430</v>
      </c>
      <c r="H158" s="9" t="s">
        <v>1430</v>
      </c>
      <c r="I158" s="9"/>
      <c r="J158" s="9"/>
      <c r="K158" s="9"/>
      <c r="L158" s="9"/>
      <c r="M158" s="9"/>
      <c r="N158" s="12"/>
      <c r="O158" s="12" t="s">
        <v>236</v>
      </c>
      <c r="P158" s="6" t="s">
        <v>1330</v>
      </c>
    </row>
    <row r="159" spans="1:16" x14ac:dyDescent="0.25">
      <c r="A159" s="6" t="s">
        <v>1431</v>
      </c>
      <c r="B159" s="6" t="s">
        <v>1255</v>
      </c>
      <c r="C159" s="6" t="s">
        <v>1329</v>
      </c>
      <c r="D159" s="6">
        <v>45</v>
      </c>
      <c r="E159" s="6" t="s">
        <v>1257</v>
      </c>
      <c r="F159" s="6" t="s">
        <v>161</v>
      </c>
      <c r="G159" s="6" t="s">
        <v>1430</v>
      </c>
      <c r="H159" s="9" t="s">
        <v>1334</v>
      </c>
      <c r="I159" s="9"/>
      <c r="J159" s="9"/>
      <c r="K159" s="9"/>
      <c r="L159" s="9"/>
      <c r="M159" s="9"/>
      <c r="N159" s="12"/>
      <c r="O159" s="12" t="s">
        <v>236</v>
      </c>
      <c r="P159" s="6" t="s">
        <v>1330</v>
      </c>
    </row>
    <row r="160" spans="1:16" x14ac:dyDescent="0.25">
      <c r="A160" s="6" t="s">
        <v>1432</v>
      </c>
      <c r="B160" s="6" t="s">
        <v>1255</v>
      </c>
      <c r="C160" s="6" t="s">
        <v>1329</v>
      </c>
      <c r="D160" s="6">
        <v>46</v>
      </c>
      <c r="E160" s="6" t="s">
        <v>1257</v>
      </c>
      <c r="F160" s="6" t="s">
        <v>161</v>
      </c>
      <c r="G160" s="6" t="s">
        <v>1430</v>
      </c>
      <c r="H160" s="9" t="s">
        <v>1336</v>
      </c>
      <c r="I160" s="9" t="s">
        <v>102</v>
      </c>
      <c r="J160" s="9" t="s">
        <v>1337</v>
      </c>
      <c r="K160" s="9"/>
      <c r="L160" s="9"/>
      <c r="M160" s="9"/>
      <c r="N160" s="12"/>
      <c r="O160" s="12" t="s">
        <v>236</v>
      </c>
      <c r="P160" s="6" t="s">
        <v>1330</v>
      </c>
    </row>
    <row r="161" spans="1:16" ht="25.5" x14ac:dyDescent="0.25">
      <c r="A161" s="6" t="s">
        <v>555</v>
      </c>
      <c r="B161" s="6" t="s">
        <v>1255</v>
      </c>
      <c r="C161" s="6" t="s">
        <v>1329</v>
      </c>
      <c r="D161" s="6">
        <v>47</v>
      </c>
      <c r="E161" s="6" t="s">
        <v>1271</v>
      </c>
      <c r="F161" s="6" t="s">
        <v>161</v>
      </c>
      <c r="G161" s="6" t="s">
        <v>1430</v>
      </c>
      <c r="H161" s="9" t="s">
        <v>1338</v>
      </c>
      <c r="I161" s="9" t="s">
        <v>1433</v>
      </c>
      <c r="J161" s="9" t="s">
        <v>1340</v>
      </c>
      <c r="K161" s="9"/>
      <c r="L161" s="9"/>
      <c r="M161" s="9"/>
      <c r="N161" s="12" t="s">
        <v>552</v>
      </c>
      <c r="O161" s="12" t="s">
        <v>1275</v>
      </c>
      <c r="P161" s="6" t="s">
        <v>1341</v>
      </c>
    </row>
    <row r="162" spans="1:16" ht="25.5" x14ac:dyDescent="0.25">
      <c r="A162" s="6" t="s">
        <v>558</v>
      </c>
      <c r="B162" s="6" t="s">
        <v>1255</v>
      </c>
      <c r="C162" s="6" t="s">
        <v>1329</v>
      </c>
      <c r="D162" s="6">
        <v>47</v>
      </c>
      <c r="E162" s="6" t="s">
        <v>1271</v>
      </c>
      <c r="F162" s="6" t="s">
        <v>161</v>
      </c>
      <c r="G162" s="6" t="s">
        <v>1430</v>
      </c>
      <c r="H162" s="9" t="s">
        <v>1434</v>
      </c>
      <c r="I162" s="9" t="s">
        <v>1435</v>
      </c>
      <c r="J162" s="9"/>
      <c r="K162" s="9" t="s">
        <v>1344</v>
      </c>
      <c r="L162" s="9" t="s">
        <v>65</v>
      </c>
      <c r="M162" s="9" t="s">
        <v>65</v>
      </c>
      <c r="N162" s="12" t="s">
        <v>556</v>
      </c>
      <c r="O162" s="12" t="s">
        <v>1275</v>
      </c>
      <c r="P162" s="6" t="s">
        <v>1341</v>
      </c>
    </row>
    <row r="163" spans="1:16" ht="25.5" x14ac:dyDescent="0.25">
      <c r="A163" s="6" t="s">
        <v>561</v>
      </c>
      <c r="B163" s="6" t="s">
        <v>1255</v>
      </c>
      <c r="C163" s="6" t="s">
        <v>1329</v>
      </c>
      <c r="D163" s="6">
        <v>48</v>
      </c>
      <c r="E163" s="6" t="s">
        <v>1271</v>
      </c>
      <c r="F163" s="6" t="s">
        <v>161</v>
      </c>
      <c r="G163" s="6" t="s">
        <v>1430</v>
      </c>
      <c r="H163" s="9" t="s">
        <v>1351</v>
      </c>
      <c r="I163" s="9" t="s">
        <v>1436</v>
      </c>
      <c r="J163" s="9" t="s">
        <v>1437</v>
      </c>
      <c r="K163" s="9"/>
      <c r="L163" s="9"/>
      <c r="M163" s="9"/>
      <c r="N163" s="12" t="s">
        <v>559</v>
      </c>
      <c r="O163" s="12" t="s">
        <v>1275</v>
      </c>
      <c r="P163" s="6" t="s">
        <v>1341</v>
      </c>
    </row>
    <row r="164" spans="1:16" ht="25.5" x14ac:dyDescent="0.25">
      <c r="A164" s="6" t="s">
        <v>564</v>
      </c>
      <c r="B164" s="6" t="s">
        <v>1255</v>
      </c>
      <c r="C164" s="6" t="s">
        <v>1329</v>
      </c>
      <c r="D164" s="6">
        <v>49</v>
      </c>
      <c r="E164" s="6" t="s">
        <v>1271</v>
      </c>
      <c r="F164" s="6" t="s">
        <v>161</v>
      </c>
      <c r="G164" s="6" t="s">
        <v>1430</v>
      </c>
      <c r="H164" s="9" t="s">
        <v>1354</v>
      </c>
      <c r="I164" s="9" t="s">
        <v>1438</v>
      </c>
      <c r="J164" s="9" t="s">
        <v>1340</v>
      </c>
      <c r="K164" s="9"/>
      <c r="L164" s="9"/>
      <c r="M164" s="9"/>
      <c r="N164" s="12" t="s">
        <v>562</v>
      </c>
      <c r="O164" s="12" t="s">
        <v>1275</v>
      </c>
      <c r="P164" s="6" t="s">
        <v>1341</v>
      </c>
    </row>
    <row r="165" spans="1:16" ht="25.5" x14ac:dyDescent="0.25">
      <c r="A165" s="6" t="s">
        <v>567</v>
      </c>
      <c r="B165" s="6" t="s">
        <v>1255</v>
      </c>
      <c r="C165" s="6" t="s">
        <v>1329</v>
      </c>
      <c r="D165" s="6">
        <v>49</v>
      </c>
      <c r="E165" s="6" t="s">
        <v>1271</v>
      </c>
      <c r="F165" s="6" t="s">
        <v>161</v>
      </c>
      <c r="G165" s="6" t="s">
        <v>1430</v>
      </c>
      <c r="H165" s="9" t="s">
        <v>1439</v>
      </c>
      <c r="I165" s="9" t="s">
        <v>1440</v>
      </c>
      <c r="J165" s="9"/>
      <c r="K165" s="9" t="s">
        <v>1358</v>
      </c>
      <c r="L165" s="9" t="s">
        <v>65</v>
      </c>
      <c r="M165" s="9" t="s">
        <v>65</v>
      </c>
      <c r="N165" s="12" t="s">
        <v>565</v>
      </c>
      <c r="O165" s="12" t="s">
        <v>1275</v>
      </c>
      <c r="P165" s="6" t="s">
        <v>1341</v>
      </c>
    </row>
    <row r="166" spans="1:16" x14ac:dyDescent="0.25">
      <c r="A166" s="6" t="s">
        <v>570</v>
      </c>
      <c r="B166" s="6" t="s">
        <v>1255</v>
      </c>
      <c r="C166" s="6" t="s">
        <v>1329</v>
      </c>
      <c r="D166" s="6">
        <v>50</v>
      </c>
      <c r="E166" s="6" t="s">
        <v>1271</v>
      </c>
      <c r="F166" s="6" t="s">
        <v>161</v>
      </c>
      <c r="G166" s="6" t="s">
        <v>1430</v>
      </c>
      <c r="H166" s="9" t="s">
        <v>1441</v>
      </c>
      <c r="I166" s="9" t="s">
        <v>1442</v>
      </c>
      <c r="J166" s="9"/>
      <c r="K166" s="9" t="s">
        <v>1358</v>
      </c>
      <c r="L166" s="9" t="s">
        <v>65</v>
      </c>
      <c r="M166" s="9" t="s">
        <v>65</v>
      </c>
      <c r="N166" s="12" t="s">
        <v>568</v>
      </c>
      <c r="O166" s="12" t="s">
        <v>1275</v>
      </c>
      <c r="P166" s="6" t="s">
        <v>1341</v>
      </c>
    </row>
    <row r="167" spans="1:16" x14ac:dyDescent="0.25">
      <c r="A167" s="6" t="s">
        <v>573</v>
      </c>
      <c r="B167" s="6" t="s">
        <v>1255</v>
      </c>
      <c r="C167" s="6" t="s">
        <v>1329</v>
      </c>
      <c r="D167" s="6">
        <v>51</v>
      </c>
      <c r="E167" s="6" t="s">
        <v>1271</v>
      </c>
      <c r="F167" s="6" t="s">
        <v>161</v>
      </c>
      <c r="G167" s="6" t="s">
        <v>1430</v>
      </c>
      <c r="H167" s="9" t="s">
        <v>1443</v>
      </c>
      <c r="I167" s="9" t="s">
        <v>1444</v>
      </c>
      <c r="J167" s="9" t="s">
        <v>1340</v>
      </c>
      <c r="K167" s="9"/>
      <c r="L167" s="9"/>
      <c r="M167" s="9"/>
      <c r="N167" s="12" t="s">
        <v>571</v>
      </c>
      <c r="O167" s="12" t="s">
        <v>1275</v>
      </c>
      <c r="P167" s="6" t="s">
        <v>1341</v>
      </c>
    </row>
    <row r="168" spans="1:16" x14ac:dyDescent="0.25">
      <c r="A168" s="6" t="s">
        <v>576</v>
      </c>
      <c r="B168" s="6" t="s">
        <v>1255</v>
      </c>
      <c r="C168" s="6" t="s">
        <v>1329</v>
      </c>
      <c r="D168" s="6">
        <v>51</v>
      </c>
      <c r="E168" s="6" t="s">
        <v>1271</v>
      </c>
      <c r="F168" s="6" t="s">
        <v>161</v>
      </c>
      <c r="G168" s="6" t="s">
        <v>1430</v>
      </c>
      <c r="H168" s="9" t="s">
        <v>1445</v>
      </c>
      <c r="I168" s="9" t="s">
        <v>1446</v>
      </c>
      <c r="J168" s="9"/>
      <c r="K168" s="9" t="s">
        <v>1447</v>
      </c>
      <c r="L168" s="9" t="s">
        <v>65</v>
      </c>
      <c r="M168" s="9" t="s">
        <v>65</v>
      </c>
      <c r="N168" s="12" t="s">
        <v>574</v>
      </c>
      <c r="O168" s="12" t="s">
        <v>1275</v>
      </c>
      <c r="P168" s="6" t="s">
        <v>1341</v>
      </c>
    </row>
    <row r="169" spans="1:16" ht="25.5" x14ac:dyDescent="0.25">
      <c r="A169" s="6" t="s">
        <v>579</v>
      </c>
      <c r="B169" s="6" t="s">
        <v>1255</v>
      </c>
      <c r="C169" s="6" t="s">
        <v>1329</v>
      </c>
      <c r="D169" s="6">
        <v>52</v>
      </c>
      <c r="E169" s="6" t="s">
        <v>1271</v>
      </c>
      <c r="F169" s="6" t="s">
        <v>161</v>
      </c>
      <c r="G169" s="6" t="s">
        <v>1430</v>
      </c>
      <c r="H169" s="9" t="s">
        <v>1373</v>
      </c>
      <c r="I169" s="9" t="s">
        <v>1448</v>
      </c>
      <c r="J169" s="9" t="s">
        <v>1340</v>
      </c>
      <c r="K169" s="9"/>
      <c r="L169" s="9"/>
      <c r="M169" s="9"/>
      <c r="N169" s="12" t="s">
        <v>577</v>
      </c>
      <c r="O169" s="12" t="s">
        <v>1275</v>
      </c>
      <c r="P169" s="6" t="s">
        <v>1341</v>
      </c>
    </row>
    <row r="170" spans="1:16" x14ac:dyDescent="0.25">
      <c r="A170" s="6" t="s">
        <v>582</v>
      </c>
      <c r="B170" s="6" t="s">
        <v>1255</v>
      </c>
      <c r="C170" s="6" t="s">
        <v>1329</v>
      </c>
      <c r="D170" s="6">
        <v>52</v>
      </c>
      <c r="E170" s="6" t="s">
        <v>1271</v>
      </c>
      <c r="F170" s="6" t="s">
        <v>161</v>
      </c>
      <c r="G170" s="6" t="s">
        <v>1430</v>
      </c>
      <c r="H170" s="9" t="s">
        <v>1449</v>
      </c>
      <c r="I170" s="9" t="s">
        <v>1450</v>
      </c>
      <c r="J170" s="9"/>
      <c r="K170" s="9" t="s">
        <v>1377</v>
      </c>
      <c r="L170" s="9" t="s">
        <v>65</v>
      </c>
      <c r="M170" s="9" t="s">
        <v>439</v>
      </c>
      <c r="N170" s="12" t="s">
        <v>580</v>
      </c>
      <c r="O170" s="12" t="s">
        <v>1275</v>
      </c>
      <c r="P170" s="6" t="s">
        <v>1341</v>
      </c>
    </row>
    <row r="171" spans="1:16" x14ac:dyDescent="0.25">
      <c r="A171" s="6" t="s">
        <v>585</v>
      </c>
      <c r="B171" s="6" t="s">
        <v>1255</v>
      </c>
      <c r="C171" s="6" t="s">
        <v>1329</v>
      </c>
      <c r="D171" s="6">
        <v>53</v>
      </c>
      <c r="E171" s="6" t="s">
        <v>1271</v>
      </c>
      <c r="F171" s="6" t="s">
        <v>161</v>
      </c>
      <c r="G171" s="6" t="s">
        <v>1430</v>
      </c>
      <c r="H171" s="9" t="s">
        <v>1451</v>
      </c>
      <c r="I171" s="9" t="s">
        <v>1452</v>
      </c>
      <c r="J171" s="9"/>
      <c r="K171" s="9" t="s">
        <v>1377</v>
      </c>
      <c r="L171" s="9" t="s">
        <v>65</v>
      </c>
      <c r="M171" s="9" t="s">
        <v>439</v>
      </c>
      <c r="N171" s="12" t="s">
        <v>583</v>
      </c>
      <c r="O171" s="12" t="s">
        <v>1275</v>
      </c>
      <c r="P171" s="6" t="s">
        <v>1341</v>
      </c>
    </row>
    <row r="172" spans="1:16" ht="25.5" x14ac:dyDescent="0.25">
      <c r="A172" s="6" t="s">
        <v>588</v>
      </c>
      <c r="B172" s="6" t="s">
        <v>1255</v>
      </c>
      <c r="C172" s="6" t="s">
        <v>1329</v>
      </c>
      <c r="D172" s="6">
        <v>54</v>
      </c>
      <c r="E172" s="6" t="s">
        <v>1271</v>
      </c>
      <c r="F172" s="6" t="s">
        <v>161</v>
      </c>
      <c r="G172" s="6" t="s">
        <v>1430</v>
      </c>
      <c r="H172" s="9" t="s">
        <v>1366</v>
      </c>
      <c r="I172" s="9" t="s">
        <v>1453</v>
      </c>
      <c r="J172" s="9" t="s">
        <v>1353</v>
      </c>
      <c r="K172" s="9"/>
      <c r="L172" s="9"/>
      <c r="M172" s="9"/>
      <c r="N172" s="12" t="s">
        <v>586</v>
      </c>
      <c r="O172" s="12" t="s">
        <v>1275</v>
      </c>
      <c r="P172" s="6" t="s">
        <v>1341</v>
      </c>
    </row>
    <row r="173" spans="1:16" x14ac:dyDescent="0.25">
      <c r="A173" s="6" t="s">
        <v>1454</v>
      </c>
      <c r="B173" s="6" t="s">
        <v>1255</v>
      </c>
      <c r="C173" s="6" t="s">
        <v>1329</v>
      </c>
      <c r="D173" s="6">
        <v>57</v>
      </c>
      <c r="E173" s="6" t="s">
        <v>1257</v>
      </c>
      <c r="F173" s="6" t="s">
        <v>161</v>
      </c>
      <c r="G173" s="6"/>
      <c r="H173" s="9" t="s">
        <v>1428</v>
      </c>
      <c r="I173" s="9"/>
      <c r="J173" s="9"/>
      <c r="K173" s="9"/>
      <c r="L173" s="9"/>
      <c r="M173" s="9"/>
      <c r="N173" s="12"/>
      <c r="O173" s="12" t="s">
        <v>236</v>
      </c>
      <c r="P173" s="6" t="s">
        <v>1330</v>
      </c>
    </row>
    <row r="174" spans="1:16" x14ac:dyDescent="0.25">
      <c r="A174" s="6" t="s">
        <v>1455</v>
      </c>
      <c r="B174" s="6" t="s">
        <v>1255</v>
      </c>
      <c r="C174" s="6" t="s">
        <v>1329</v>
      </c>
      <c r="D174" s="6">
        <v>58</v>
      </c>
      <c r="E174" s="6" t="s">
        <v>1257</v>
      </c>
      <c r="F174" s="6" t="s">
        <v>161</v>
      </c>
      <c r="G174" s="6" t="s">
        <v>1456</v>
      </c>
      <c r="H174" s="9" t="s">
        <v>1456</v>
      </c>
      <c r="I174" s="9"/>
      <c r="J174" s="9"/>
      <c r="K174" s="9"/>
      <c r="L174" s="9"/>
      <c r="M174" s="9"/>
      <c r="N174" s="12"/>
      <c r="O174" s="12" t="s">
        <v>236</v>
      </c>
      <c r="P174" s="6" t="s">
        <v>1330</v>
      </c>
    </row>
    <row r="175" spans="1:16" x14ac:dyDescent="0.25">
      <c r="A175" s="6" t="s">
        <v>1457</v>
      </c>
      <c r="B175" s="6" t="s">
        <v>1255</v>
      </c>
      <c r="C175" s="6" t="s">
        <v>1329</v>
      </c>
      <c r="D175" s="6">
        <v>59</v>
      </c>
      <c r="E175" s="6" t="s">
        <v>1257</v>
      </c>
      <c r="F175" s="6" t="s">
        <v>161</v>
      </c>
      <c r="G175" s="6" t="s">
        <v>1456</v>
      </c>
      <c r="H175" s="9" t="s">
        <v>1334</v>
      </c>
      <c r="I175" s="9"/>
      <c r="J175" s="9"/>
      <c r="K175" s="9"/>
      <c r="L175" s="9"/>
      <c r="M175" s="9"/>
      <c r="N175" s="12"/>
      <c r="O175" s="12" t="s">
        <v>236</v>
      </c>
      <c r="P175" s="6" t="s">
        <v>1330</v>
      </c>
    </row>
    <row r="176" spans="1:16" x14ac:dyDescent="0.25">
      <c r="A176" s="6" t="s">
        <v>1458</v>
      </c>
      <c r="B176" s="6" t="s">
        <v>1255</v>
      </c>
      <c r="C176" s="6" t="s">
        <v>1329</v>
      </c>
      <c r="D176" s="6">
        <v>60</v>
      </c>
      <c r="E176" s="6" t="s">
        <v>1257</v>
      </c>
      <c r="F176" s="6" t="s">
        <v>161</v>
      </c>
      <c r="G176" s="6" t="s">
        <v>1456</v>
      </c>
      <c r="H176" s="9" t="s">
        <v>1336</v>
      </c>
      <c r="I176" s="9" t="s">
        <v>102</v>
      </c>
      <c r="J176" s="9" t="s">
        <v>1337</v>
      </c>
      <c r="K176" s="9"/>
      <c r="L176" s="9"/>
      <c r="M176" s="9"/>
      <c r="N176" s="12"/>
      <c r="O176" s="12" t="s">
        <v>236</v>
      </c>
      <c r="P176" s="6" t="s">
        <v>1330</v>
      </c>
    </row>
    <row r="177" spans="1:16" ht="25.5" x14ac:dyDescent="0.25">
      <c r="A177" s="6" t="s">
        <v>592</v>
      </c>
      <c r="B177" s="6" t="s">
        <v>1255</v>
      </c>
      <c r="C177" s="6" t="s">
        <v>1329</v>
      </c>
      <c r="D177" s="6">
        <v>61</v>
      </c>
      <c r="E177" s="6" t="s">
        <v>1271</v>
      </c>
      <c r="F177" s="6" t="s">
        <v>161</v>
      </c>
      <c r="G177" s="6" t="s">
        <v>1456</v>
      </c>
      <c r="H177" s="9" t="s">
        <v>1338</v>
      </c>
      <c r="I177" s="9" t="s">
        <v>1459</v>
      </c>
      <c r="J177" s="9" t="s">
        <v>1340</v>
      </c>
      <c r="K177" s="9"/>
      <c r="L177" s="9"/>
      <c r="M177" s="9"/>
      <c r="N177" s="12" t="s">
        <v>589</v>
      </c>
      <c r="O177" s="12" t="s">
        <v>1275</v>
      </c>
      <c r="P177" s="6" t="s">
        <v>1341</v>
      </c>
    </row>
    <row r="178" spans="1:16" ht="25.5" x14ac:dyDescent="0.25">
      <c r="A178" s="6" t="s">
        <v>595</v>
      </c>
      <c r="B178" s="6" t="s">
        <v>1255</v>
      </c>
      <c r="C178" s="6" t="s">
        <v>1329</v>
      </c>
      <c r="D178" s="6">
        <v>61</v>
      </c>
      <c r="E178" s="6" t="s">
        <v>1271</v>
      </c>
      <c r="F178" s="6" t="s">
        <v>161</v>
      </c>
      <c r="G178" s="6" t="s">
        <v>1456</v>
      </c>
      <c r="H178" s="9" t="s">
        <v>1460</v>
      </c>
      <c r="I178" s="9" t="s">
        <v>1461</v>
      </c>
      <c r="J178" s="9"/>
      <c r="K178" s="9" t="s">
        <v>1344</v>
      </c>
      <c r="L178" s="9" t="s">
        <v>65</v>
      </c>
      <c r="M178" s="9" t="s">
        <v>65</v>
      </c>
      <c r="N178" s="12" t="s">
        <v>593</v>
      </c>
      <c r="O178" s="12" t="s">
        <v>1275</v>
      </c>
      <c r="P178" s="6" t="s">
        <v>1341</v>
      </c>
    </row>
    <row r="179" spans="1:16" ht="25.5" x14ac:dyDescent="0.25">
      <c r="A179" s="6" t="s">
        <v>598</v>
      </c>
      <c r="B179" s="6" t="s">
        <v>1255</v>
      </c>
      <c r="C179" s="6" t="s">
        <v>1329</v>
      </c>
      <c r="D179" s="6">
        <v>62</v>
      </c>
      <c r="E179" s="6" t="s">
        <v>1271</v>
      </c>
      <c r="F179" s="6" t="s">
        <v>161</v>
      </c>
      <c r="G179" s="6" t="s">
        <v>1456</v>
      </c>
      <c r="H179" s="9" t="s">
        <v>1354</v>
      </c>
      <c r="I179" s="9" t="s">
        <v>1462</v>
      </c>
      <c r="J179" s="9" t="s">
        <v>1340</v>
      </c>
      <c r="K179" s="9"/>
      <c r="L179" s="9"/>
      <c r="M179" s="9"/>
      <c r="N179" s="12" t="s">
        <v>596</v>
      </c>
      <c r="O179" s="12" t="s">
        <v>1275</v>
      </c>
      <c r="P179" s="6" t="s">
        <v>1341</v>
      </c>
    </row>
    <row r="180" spans="1:16" ht="25.5" x14ac:dyDescent="0.25">
      <c r="A180" s="6" t="s">
        <v>601</v>
      </c>
      <c r="B180" s="6" t="s">
        <v>1255</v>
      </c>
      <c r="C180" s="6" t="s">
        <v>1329</v>
      </c>
      <c r="D180" s="6">
        <v>62</v>
      </c>
      <c r="E180" s="6" t="s">
        <v>1271</v>
      </c>
      <c r="F180" s="6" t="s">
        <v>161</v>
      </c>
      <c r="G180" s="6" t="s">
        <v>1456</v>
      </c>
      <c r="H180" s="9" t="s">
        <v>1463</v>
      </c>
      <c r="I180" s="9" t="s">
        <v>1464</v>
      </c>
      <c r="J180" s="9"/>
      <c r="K180" s="9" t="s">
        <v>1358</v>
      </c>
      <c r="L180" s="9" t="s">
        <v>65</v>
      </c>
      <c r="M180" s="9" t="s">
        <v>65</v>
      </c>
      <c r="N180" s="12" t="s">
        <v>599</v>
      </c>
      <c r="O180" s="12" t="s">
        <v>1275</v>
      </c>
      <c r="P180" s="6" t="s">
        <v>1341</v>
      </c>
    </row>
    <row r="181" spans="1:16" x14ac:dyDescent="0.25">
      <c r="A181" s="6" t="s">
        <v>604</v>
      </c>
      <c r="B181" s="6" t="s">
        <v>1255</v>
      </c>
      <c r="C181" s="6" t="s">
        <v>1329</v>
      </c>
      <c r="D181" s="6">
        <v>63</v>
      </c>
      <c r="E181" s="6" t="s">
        <v>1271</v>
      </c>
      <c r="F181" s="6" t="s">
        <v>161</v>
      </c>
      <c r="G181" s="6" t="s">
        <v>1456</v>
      </c>
      <c r="H181" s="9" t="s">
        <v>1443</v>
      </c>
      <c r="I181" s="9" t="s">
        <v>1465</v>
      </c>
      <c r="J181" s="9" t="s">
        <v>1340</v>
      </c>
      <c r="K181" s="9"/>
      <c r="L181" s="9"/>
      <c r="M181" s="9"/>
      <c r="N181" s="12" t="s">
        <v>602</v>
      </c>
      <c r="O181" s="12" t="s">
        <v>1275</v>
      </c>
      <c r="P181" s="6" t="s">
        <v>1341</v>
      </c>
    </row>
    <row r="182" spans="1:16" x14ac:dyDescent="0.25">
      <c r="A182" s="6" t="s">
        <v>607</v>
      </c>
      <c r="B182" s="6" t="s">
        <v>1255</v>
      </c>
      <c r="C182" s="6" t="s">
        <v>1329</v>
      </c>
      <c r="D182" s="6">
        <v>63</v>
      </c>
      <c r="E182" s="6" t="s">
        <v>1271</v>
      </c>
      <c r="F182" s="6" t="s">
        <v>161</v>
      </c>
      <c r="G182" s="6" t="s">
        <v>1456</v>
      </c>
      <c r="H182" s="9" t="s">
        <v>1466</v>
      </c>
      <c r="I182" s="9" t="s">
        <v>1467</v>
      </c>
      <c r="J182" s="9"/>
      <c r="K182" s="9" t="s">
        <v>1447</v>
      </c>
      <c r="L182" s="9" t="s">
        <v>65</v>
      </c>
      <c r="M182" s="9" t="s">
        <v>65</v>
      </c>
      <c r="N182" s="12" t="s">
        <v>605</v>
      </c>
      <c r="O182" s="12" t="s">
        <v>1275</v>
      </c>
      <c r="P182" s="6" t="s">
        <v>1341</v>
      </c>
    </row>
    <row r="183" spans="1:16" ht="25.5" x14ac:dyDescent="0.25">
      <c r="A183" s="6" t="s">
        <v>610</v>
      </c>
      <c r="B183" s="6" t="s">
        <v>1255</v>
      </c>
      <c r="C183" s="6" t="s">
        <v>1329</v>
      </c>
      <c r="D183" s="6">
        <v>64</v>
      </c>
      <c r="E183" s="6" t="s">
        <v>1271</v>
      </c>
      <c r="F183" s="6" t="s">
        <v>161</v>
      </c>
      <c r="G183" s="6" t="s">
        <v>1456</v>
      </c>
      <c r="H183" s="9" t="s">
        <v>1373</v>
      </c>
      <c r="I183" s="9" t="s">
        <v>1468</v>
      </c>
      <c r="J183" s="9" t="s">
        <v>1340</v>
      </c>
      <c r="K183" s="9"/>
      <c r="L183" s="9"/>
      <c r="M183" s="9"/>
      <c r="N183" s="12" t="s">
        <v>608</v>
      </c>
      <c r="O183" s="12" t="s">
        <v>1275</v>
      </c>
      <c r="P183" s="6" t="s">
        <v>1341</v>
      </c>
    </row>
    <row r="184" spans="1:16" x14ac:dyDescent="0.25">
      <c r="A184" s="6" t="s">
        <v>613</v>
      </c>
      <c r="B184" s="6" t="s">
        <v>1255</v>
      </c>
      <c r="C184" s="6" t="s">
        <v>1329</v>
      </c>
      <c r="D184" s="6">
        <v>64</v>
      </c>
      <c r="E184" s="6" t="s">
        <v>1271</v>
      </c>
      <c r="F184" s="6" t="s">
        <v>161</v>
      </c>
      <c r="G184" s="6" t="s">
        <v>1456</v>
      </c>
      <c r="H184" s="9" t="s">
        <v>1469</v>
      </c>
      <c r="I184" s="9" t="s">
        <v>1470</v>
      </c>
      <c r="J184" s="9"/>
      <c r="K184" s="9" t="s">
        <v>1377</v>
      </c>
      <c r="L184" s="9" t="s">
        <v>65</v>
      </c>
      <c r="M184" s="9" t="s">
        <v>439</v>
      </c>
      <c r="N184" s="12" t="s">
        <v>611</v>
      </c>
      <c r="O184" s="12" t="s">
        <v>1275</v>
      </c>
      <c r="P184" s="6" t="s">
        <v>1341</v>
      </c>
    </row>
    <row r="185" spans="1:16" ht="25.5" x14ac:dyDescent="0.25">
      <c r="A185" s="6" t="s">
        <v>616</v>
      </c>
      <c r="B185" s="6" t="s">
        <v>1255</v>
      </c>
      <c r="C185" s="6" t="s">
        <v>1329</v>
      </c>
      <c r="D185" s="6">
        <v>65</v>
      </c>
      <c r="E185" s="6" t="s">
        <v>1271</v>
      </c>
      <c r="F185" s="6" t="s">
        <v>161</v>
      </c>
      <c r="G185" s="6" t="s">
        <v>1456</v>
      </c>
      <c r="H185" s="9" t="s">
        <v>1471</v>
      </c>
      <c r="I185" s="9" t="s">
        <v>1472</v>
      </c>
      <c r="J185" s="9"/>
      <c r="K185" s="9" t="s">
        <v>1377</v>
      </c>
      <c r="L185" s="9" t="s">
        <v>65</v>
      </c>
      <c r="M185" s="9" t="s">
        <v>439</v>
      </c>
      <c r="N185" s="12" t="s">
        <v>614</v>
      </c>
      <c r="O185" s="12" t="s">
        <v>1275</v>
      </c>
      <c r="P185" s="6" t="s">
        <v>1341</v>
      </c>
    </row>
    <row r="186" spans="1:16" ht="25.5" x14ac:dyDescent="0.25">
      <c r="A186" s="6" t="s">
        <v>619</v>
      </c>
      <c r="B186" s="6" t="s">
        <v>1255</v>
      </c>
      <c r="C186" s="6" t="s">
        <v>1329</v>
      </c>
      <c r="D186" s="6">
        <v>66</v>
      </c>
      <c r="E186" s="6" t="s">
        <v>1271</v>
      </c>
      <c r="F186" s="6" t="s">
        <v>161</v>
      </c>
      <c r="G186" s="6" t="s">
        <v>1456</v>
      </c>
      <c r="H186" s="9" t="s">
        <v>1366</v>
      </c>
      <c r="I186" s="9" t="s">
        <v>1473</v>
      </c>
      <c r="J186" s="9" t="s">
        <v>1353</v>
      </c>
      <c r="K186" s="9"/>
      <c r="L186" s="9"/>
      <c r="M186" s="9"/>
      <c r="N186" s="12" t="s">
        <v>617</v>
      </c>
      <c r="O186" s="12" t="s">
        <v>1275</v>
      </c>
      <c r="P186" s="6" t="s">
        <v>1341</v>
      </c>
    </row>
    <row r="187" spans="1:16" x14ac:dyDescent="0.25">
      <c r="A187" s="6" t="s">
        <v>1474</v>
      </c>
      <c r="B187" s="6" t="s">
        <v>1255</v>
      </c>
      <c r="C187" s="6" t="s">
        <v>1329</v>
      </c>
      <c r="D187" s="6">
        <v>69</v>
      </c>
      <c r="E187" s="6" t="s">
        <v>1257</v>
      </c>
      <c r="F187" s="6" t="s">
        <v>161</v>
      </c>
      <c r="G187" s="6"/>
      <c r="H187" s="9" t="s">
        <v>1428</v>
      </c>
      <c r="I187" s="9"/>
      <c r="J187" s="9"/>
      <c r="K187" s="9"/>
      <c r="L187" s="9"/>
      <c r="M187" s="9"/>
      <c r="N187" s="12"/>
      <c r="O187" s="12" t="s">
        <v>236</v>
      </c>
      <c r="P187" s="6" t="s">
        <v>1330</v>
      </c>
    </row>
    <row r="188" spans="1:16" x14ac:dyDescent="0.25">
      <c r="A188" s="6" t="s">
        <v>1475</v>
      </c>
      <c r="B188" s="6" t="s">
        <v>1255</v>
      </c>
      <c r="C188" s="6" t="s">
        <v>1329</v>
      </c>
      <c r="D188" s="6">
        <v>70</v>
      </c>
      <c r="E188" s="6" t="s">
        <v>1257</v>
      </c>
      <c r="F188" s="6" t="s">
        <v>161</v>
      </c>
      <c r="G188" s="6" t="s">
        <v>1476</v>
      </c>
      <c r="H188" s="9" t="s">
        <v>1476</v>
      </c>
      <c r="I188" s="9"/>
      <c r="J188" s="9"/>
      <c r="K188" s="9"/>
      <c r="L188" s="9"/>
      <c r="M188" s="9"/>
      <c r="N188" s="12"/>
      <c r="O188" s="12" t="s">
        <v>236</v>
      </c>
      <c r="P188" s="6" t="s">
        <v>1330</v>
      </c>
    </row>
    <row r="189" spans="1:16" x14ac:dyDescent="0.25">
      <c r="A189" s="6" t="s">
        <v>1477</v>
      </c>
      <c r="B189" s="6" t="s">
        <v>1255</v>
      </c>
      <c r="C189" s="6" t="s">
        <v>1329</v>
      </c>
      <c r="D189" s="6">
        <v>71</v>
      </c>
      <c r="E189" s="6" t="s">
        <v>1257</v>
      </c>
      <c r="F189" s="6" t="s">
        <v>161</v>
      </c>
      <c r="G189" s="6" t="s">
        <v>1476</v>
      </c>
      <c r="H189" s="9" t="s">
        <v>1334</v>
      </c>
      <c r="I189" s="9"/>
      <c r="J189" s="9"/>
      <c r="K189" s="9"/>
      <c r="L189" s="9"/>
      <c r="M189" s="9"/>
      <c r="N189" s="12"/>
      <c r="O189" s="12" t="s">
        <v>236</v>
      </c>
      <c r="P189" s="6" t="s">
        <v>1330</v>
      </c>
    </row>
    <row r="190" spans="1:16" x14ac:dyDescent="0.25">
      <c r="A190" s="6" t="s">
        <v>1478</v>
      </c>
      <c r="B190" s="6" t="s">
        <v>1255</v>
      </c>
      <c r="C190" s="6" t="s">
        <v>1329</v>
      </c>
      <c r="D190" s="6">
        <v>72</v>
      </c>
      <c r="E190" s="6" t="s">
        <v>1257</v>
      </c>
      <c r="F190" s="6" t="s">
        <v>161</v>
      </c>
      <c r="G190" s="6" t="s">
        <v>1476</v>
      </c>
      <c r="H190" s="9" t="s">
        <v>1336</v>
      </c>
      <c r="I190" s="9" t="s">
        <v>102</v>
      </c>
      <c r="J190" s="9" t="s">
        <v>1337</v>
      </c>
      <c r="K190" s="9"/>
      <c r="L190" s="9"/>
      <c r="M190" s="9"/>
      <c r="N190" s="12"/>
      <c r="O190" s="12" t="s">
        <v>236</v>
      </c>
      <c r="P190" s="6" t="s">
        <v>1330</v>
      </c>
    </row>
    <row r="191" spans="1:16" ht="25.5" x14ac:dyDescent="0.25">
      <c r="A191" s="6" t="s">
        <v>623</v>
      </c>
      <c r="B191" s="6" t="s">
        <v>1255</v>
      </c>
      <c r="C191" s="6" t="s">
        <v>1329</v>
      </c>
      <c r="D191" s="6">
        <v>73</v>
      </c>
      <c r="E191" s="6" t="s">
        <v>1271</v>
      </c>
      <c r="F191" s="6" t="s">
        <v>161</v>
      </c>
      <c r="G191" s="6" t="s">
        <v>1476</v>
      </c>
      <c r="H191" s="9" t="s">
        <v>1338</v>
      </c>
      <c r="I191" s="9" t="s">
        <v>1479</v>
      </c>
      <c r="J191" s="9" t="s">
        <v>1340</v>
      </c>
      <c r="K191" s="9"/>
      <c r="L191" s="9"/>
      <c r="M191" s="9"/>
      <c r="N191" s="12" t="s">
        <v>620</v>
      </c>
      <c r="O191" s="12" t="s">
        <v>1275</v>
      </c>
      <c r="P191" s="6" t="s">
        <v>1341</v>
      </c>
    </row>
    <row r="192" spans="1:16" ht="25.5" x14ac:dyDescent="0.25">
      <c r="A192" s="6" t="s">
        <v>626</v>
      </c>
      <c r="B192" s="6" t="s">
        <v>1255</v>
      </c>
      <c r="C192" s="6" t="s">
        <v>1329</v>
      </c>
      <c r="D192" s="6">
        <v>73</v>
      </c>
      <c r="E192" s="6" t="s">
        <v>1271</v>
      </c>
      <c r="F192" s="6" t="s">
        <v>161</v>
      </c>
      <c r="G192" s="6" t="s">
        <v>1476</v>
      </c>
      <c r="H192" s="9" t="s">
        <v>1480</v>
      </c>
      <c r="I192" s="9" t="s">
        <v>1481</v>
      </c>
      <c r="J192" s="9"/>
      <c r="K192" s="9" t="s">
        <v>1344</v>
      </c>
      <c r="L192" s="9" t="s">
        <v>65</v>
      </c>
      <c r="M192" s="9" t="s">
        <v>65</v>
      </c>
      <c r="N192" s="12" t="s">
        <v>624</v>
      </c>
      <c r="O192" s="12" t="s">
        <v>1275</v>
      </c>
      <c r="P192" s="6" t="s">
        <v>1341</v>
      </c>
    </row>
    <row r="193" spans="1:16" ht="25.5" x14ac:dyDescent="0.25">
      <c r="A193" s="6" t="s">
        <v>629</v>
      </c>
      <c r="B193" s="6" t="s">
        <v>1255</v>
      </c>
      <c r="C193" s="6" t="s">
        <v>1329</v>
      </c>
      <c r="D193" s="6">
        <v>74</v>
      </c>
      <c r="E193" s="6" t="s">
        <v>1271</v>
      </c>
      <c r="F193" s="6" t="s">
        <v>161</v>
      </c>
      <c r="G193" s="6" t="s">
        <v>1476</v>
      </c>
      <c r="H193" s="9" t="s">
        <v>1354</v>
      </c>
      <c r="I193" s="9" t="s">
        <v>1482</v>
      </c>
      <c r="J193" s="9" t="s">
        <v>1340</v>
      </c>
      <c r="K193" s="9"/>
      <c r="L193" s="9"/>
      <c r="M193" s="9"/>
      <c r="N193" s="12" t="s">
        <v>627</v>
      </c>
      <c r="O193" s="12" t="s">
        <v>1275</v>
      </c>
      <c r="P193" s="6" t="s">
        <v>1341</v>
      </c>
    </row>
    <row r="194" spans="1:16" ht="25.5" x14ac:dyDescent="0.25">
      <c r="A194" s="6" t="s">
        <v>632</v>
      </c>
      <c r="B194" s="6" t="s">
        <v>1255</v>
      </c>
      <c r="C194" s="6" t="s">
        <v>1329</v>
      </c>
      <c r="D194" s="6">
        <v>74</v>
      </c>
      <c r="E194" s="6" t="s">
        <v>1271</v>
      </c>
      <c r="F194" s="6" t="s">
        <v>161</v>
      </c>
      <c r="G194" s="6" t="s">
        <v>1476</v>
      </c>
      <c r="H194" s="9" t="s">
        <v>1483</v>
      </c>
      <c r="I194" s="9" t="s">
        <v>1484</v>
      </c>
      <c r="J194" s="9"/>
      <c r="K194" s="9" t="s">
        <v>1358</v>
      </c>
      <c r="L194" s="9" t="s">
        <v>65</v>
      </c>
      <c r="M194" s="9" t="s">
        <v>65</v>
      </c>
      <c r="N194" s="12" t="s">
        <v>630</v>
      </c>
      <c r="O194" s="12" t="s">
        <v>1275</v>
      </c>
      <c r="P194" s="6" t="s">
        <v>1341</v>
      </c>
    </row>
    <row r="195" spans="1:16" ht="25.5" x14ac:dyDescent="0.25">
      <c r="A195" s="6" t="s">
        <v>635</v>
      </c>
      <c r="B195" s="6" t="s">
        <v>1255</v>
      </c>
      <c r="C195" s="6" t="s">
        <v>1329</v>
      </c>
      <c r="D195" s="6">
        <v>75</v>
      </c>
      <c r="E195" s="6" t="s">
        <v>1271</v>
      </c>
      <c r="F195" s="6" t="s">
        <v>161</v>
      </c>
      <c r="G195" s="6" t="s">
        <v>1476</v>
      </c>
      <c r="H195" s="9" t="s">
        <v>1443</v>
      </c>
      <c r="I195" s="9" t="s">
        <v>1485</v>
      </c>
      <c r="J195" s="9" t="s">
        <v>1340</v>
      </c>
      <c r="K195" s="9"/>
      <c r="L195" s="9"/>
      <c r="M195" s="9"/>
      <c r="N195" s="12" t="s">
        <v>633</v>
      </c>
      <c r="O195" s="12" t="s">
        <v>1275</v>
      </c>
      <c r="P195" s="6" t="s">
        <v>1341</v>
      </c>
    </row>
    <row r="196" spans="1:16" x14ac:dyDescent="0.25">
      <c r="A196" s="6" t="s">
        <v>638</v>
      </c>
      <c r="B196" s="6" t="s">
        <v>1255</v>
      </c>
      <c r="C196" s="6" t="s">
        <v>1329</v>
      </c>
      <c r="D196" s="6">
        <v>75</v>
      </c>
      <c r="E196" s="6" t="s">
        <v>1271</v>
      </c>
      <c r="F196" s="6" t="s">
        <v>161</v>
      </c>
      <c r="G196" s="6" t="s">
        <v>1476</v>
      </c>
      <c r="H196" s="9" t="s">
        <v>1486</v>
      </c>
      <c r="I196" s="9" t="s">
        <v>1487</v>
      </c>
      <c r="J196" s="9"/>
      <c r="K196" s="9" t="s">
        <v>1447</v>
      </c>
      <c r="L196" s="9" t="s">
        <v>65</v>
      </c>
      <c r="M196" s="9" t="s">
        <v>65</v>
      </c>
      <c r="N196" s="12" t="s">
        <v>636</v>
      </c>
      <c r="O196" s="12" t="s">
        <v>1275</v>
      </c>
      <c r="P196" s="6" t="s">
        <v>1341</v>
      </c>
    </row>
    <row r="197" spans="1:16" ht="25.5" x14ac:dyDescent="0.25">
      <c r="A197" s="6" t="s">
        <v>641</v>
      </c>
      <c r="B197" s="6" t="s">
        <v>1255</v>
      </c>
      <c r="C197" s="6" t="s">
        <v>1329</v>
      </c>
      <c r="D197" s="6">
        <v>76</v>
      </c>
      <c r="E197" s="6" t="s">
        <v>1271</v>
      </c>
      <c r="F197" s="6" t="s">
        <v>161</v>
      </c>
      <c r="G197" s="6" t="s">
        <v>1476</v>
      </c>
      <c r="H197" s="9" t="s">
        <v>1373</v>
      </c>
      <c r="I197" s="9" t="s">
        <v>1488</v>
      </c>
      <c r="J197" s="9" t="s">
        <v>1340</v>
      </c>
      <c r="K197" s="9"/>
      <c r="L197" s="9"/>
      <c r="M197" s="9"/>
      <c r="N197" s="12" t="s">
        <v>639</v>
      </c>
      <c r="O197" s="12" t="s">
        <v>1275</v>
      </c>
      <c r="P197" s="6" t="s">
        <v>1341</v>
      </c>
    </row>
    <row r="198" spans="1:16" x14ac:dyDescent="0.25">
      <c r="A198" s="6" t="s">
        <v>644</v>
      </c>
      <c r="B198" s="6" t="s">
        <v>1255</v>
      </c>
      <c r="C198" s="6" t="s">
        <v>1329</v>
      </c>
      <c r="D198" s="6">
        <v>76</v>
      </c>
      <c r="E198" s="6" t="s">
        <v>1271</v>
      </c>
      <c r="F198" s="6" t="s">
        <v>161</v>
      </c>
      <c r="G198" s="6" t="s">
        <v>1476</v>
      </c>
      <c r="H198" s="9" t="s">
        <v>1489</v>
      </c>
      <c r="I198" s="9" t="s">
        <v>1490</v>
      </c>
      <c r="J198" s="9"/>
      <c r="K198" s="9" t="s">
        <v>1377</v>
      </c>
      <c r="L198" s="9" t="s">
        <v>65</v>
      </c>
      <c r="M198" s="9" t="s">
        <v>439</v>
      </c>
      <c r="N198" s="12" t="s">
        <v>642</v>
      </c>
      <c r="O198" s="12" t="s">
        <v>1275</v>
      </c>
      <c r="P198" s="6" t="s">
        <v>1341</v>
      </c>
    </row>
    <row r="199" spans="1:16" ht="25.5" x14ac:dyDescent="0.25">
      <c r="A199" s="6" t="s">
        <v>647</v>
      </c>
      <c r="B199" s="6" t="s">
        <v>1255</v>
      </c>
      <c r="C199" s="6" t="s">
        <v>1329</v>
      </c>
      <c r="D199" s="6">
        <v>77</v>
      </c>
      <c r="E199" s="6" t="s">
        <v>1271</v>
      </c>
      <c r="F199" s="6" t="s">
        <v>161</v>
      </c>
      <c r="G199" s="6" t="s">
        <v>1476</v>
      </c>
      <c r="H199" s="9" t="s">
        <v>1491</v>
      </c>
      <c r="I199" s="9" t="s">
        <v>1492</v>
      </c>
      <c r="J199" s="9"/>
      <c r="K199" s="9" t="s">
        <v>1377</v>
      </c>
      <c r="L199" s="9" t="s">
        <v>65</v>
      </c>
      <c r="M199" s="9" t="s">
        <v>439</v>
      </c>
      <c r="N199" s="12" t="s">
        <v>645</v>
      </c>
      <c r="O199" s="12" t="s">
        <v>1275</v>
      </c>
      <c r="P199" s="6" t="s">
        <v>1341</v>
      </c>
    </row>
    <row r="200" spans="1:16" ht="25.5" x14ac:dyDescent="0.25">
      <c r="A200" s="6" t="s">
        <v>650</v>
      </c>
      <c r="B200" s="6" t="s">
        <v>1255</v>
      </c>
      <c r="C200" s="6" t="s">
        <v>1329</v>
      </c>
      <c r="D200" s="6">
        <v>78</v>
      </c>
      <c r="E200" s="6" t="s">
        <v>1271</v>
      </c>
      <c r="F200" s="6" t="s">
        <v>161</v>
      </c>
      <c r="G200" s="6" t="s">
        <v>1476</v>
      </c>
      <c r="H200" s="9" t="s">
        <v>1366</v>
      </c>
      <c r="I200" s="9" t="s">
        <v>1493</v>
      </c>
      <c r="J200" s="9" t="s">
        <v>1353</v>
      </c>
      <c r="K200" s="9"/>
      <c r="L200" s="9"/>
      <c r="M200" s="9"/>
      <c r="N200" s="12" t="s">
        <v>648</v>
      </c>
      <c r="O200" s="12" t="s">
        <v>1275</v>
      </c>
      <c r="P200" s="6" t="s">
        <v>1341</v>
      </c>
    </row>
    <row r="201" spans="1:16" x14ac:dyDescent="0.25">
      <c r="A201" s="6" t="s">
        <v>1494</v>
      </c>
      <c r="B201" s="6" t="s">
        <v>1255</v>
      </c>
      <c r="C201" s="6" t="s">
        <v>1329</v>
      </c>
      <c r="D201" s="6">
        <v>81</v>
      </c>
      <c r="E201" s="6" t="s">
        <v>1257</v>
      </c>
      <c r="F201" s="6" t="s">
        <v>196</v>
      </c>
      <c r="G201" s="6"/>
      <c r="H201" s="9" t="s">
        <v>1495</v>
      </c>
      <c r="I201" s="9"/>
      <c r="J201" s="9"/>
      <c r="K201" s="9"/>
      <c r="L201" s="9"/>
      <c r="M201" s="9"/>
      <c r="N201" s="12"/>
      <c r="O201" s="12" t="s">
        <v>236</v>
      </c>
      <c r="P201" s="6" t="s">
        <v>1330</v>
      </c>
    </row>
    <row r="202" spans="1:16" x14ac:dyDescent="0.25">
      <c r="A202" s="6" t="s">
        <v>1496</v>
      </c>
      <c r="B202" s="6" t="s">
        <v>1255</v>
      </c>
      <c r="C202" s="6" t="s">
        <v>1329</v>
      </c>
      <c r="D202" s="6">
        <v>82</v>
      </c>
      <c r="E202" s="6" t="s">
        <v>1257</v>
      </c>
      <c r="F202" s="6" t="s">
        <v>196</v>
      </c>
      <c r="G202" s="6" t="s">
        <v>1497</v>
      </c>
      <c r="H202" s="9" t="s">
        <v>1497</v>
      </c>
      <c r="I202" s="9"/>
      <c r="J202" s="9"/>
      <c r="K202" s="9"/>
      <c r="L202" s="9"/>
      <c r="M202" s="9"/>
      <c r="N202" s="12"/>
      <c r="O202" s="12" t="s">
        <v>236</v>
      </c>
      <c r="P202" s="6" t="s">
        <v>1330</v>
      </c>
    </row>
    <row r="203" spans="1:16" x14ac:dyDescent="0.25">
      <c r="A203" s="6" t="s">
        <v>1498</v>
      </c>
      <c r="B203" s="6" t="s">
        <v>1255</v>
      </c>
      <c r="C203" s="6" t="s">
        <v>1329</v>
      </c>
      <c r="D203" s="6">
        <v>83</v>
      </c>
      <c r="E203" s="6" t="s">
        <v>1257</v>
      </c>
      <c r="F203" s="6" t="s">
        <v>196</v>
      </c>
      <c r="G203" s="6" t="s">
        <v>1497</v>
      </c>
      <c r="H203" s="9" t="s">
        <v>1334</v>
      </c>
      <c r="I203" s="9"/>
      <c r="J203" s="9"/>
      <c r="K203" s="9"/>
      <c r="L203" s="9"/>
      <c r="M203" s="9"/>
      <c r="N203" s="12"/>
      <c r="O203" s="12" t="s">
        <v>236</v>
      </c>
      <c r="P203" s="6" t="s">
        <v>1330</v>
      </c>
    </row>
    <row r="204" spans="1:16" x14ac:dyDescent="0.25">
      <c r="A204" s="6" t="s">
        <v>1499</v>
      </c>
      <c r="B204" s="6" t="s">
        <v>1255</v>
      </c>
      <c r="C204" s="6" t="s">
        <v>1329</v>
      </c>
      <c r="D204" s="6">
        <v>84</v>
      </c>
      <c r="E204" s="6" t="s">
        <v>1257</v>
      </c>
      <c r="F204" s="6" t="s">
        <v>196</v>
      </c>
      <c r="G204" s="6" t="s">
        <v>1497</v>
      </c>
      <c r="H204" s="9" t="s">
        <v>1336</v>
      </c>
      <c r="I204" s="9" t="s">
        <v>102</v>
      </c>
      <c r="J204" s="9" t="s">
        <v>1337</v>
      </c>
      <c r="K204" s="9"/>
      <c r="L204" s="9"/>
      <c r="M204" s="9"/>
      <c r="N204" s="12"/>
      <c r="O204" s="12" t="s">
        <v>236</v>
      </c>
      <c r="P204" s="6" t="s">
        <v>1330</v>
      </c>
    </row>
    <row r="205" spans="1:16" ht="25.5" x14ac:dyDescent="0.25">
      <c r="A205" s="6" t="s">
        <v>654</v>
      </c>
      <c r="B205" s="6" t="s">
        <v>1255</v>
      </c>
      <c r="C205" s="6" t="s">
        <v>1329</v>
      </c>
      <c r="D205" s="6">
        <v>85</v>
      </c>
      <c r="E205" s="6" t="s">
        <v>1271</v>
      </c>
      <c r="F205" s="6" t="s">
        <v>196</v>
      </c>
      <c r="G205" s="6" t="s">
        <v>1497</v>
      </c>
      <c r="H205" s="9" t="s">
        <v>1338</v>
      </c>
      <c r="I205" s="9" t="s">
        <v>1500</v>
      </c>
      <c r="J205" s="9" t="s">
        <v>1340</v>
      </c>
      <c r="K205" s="9"/>
      <c r="L205" s="9"/>
      <c r="M205" s="9"/>
      <c r="N205" s="12" t="s">
        <v>651</v>
      </c>
      <c r="O205" s="12" t="s">
        <v>1275</v>
      </c>
      <c r="P205" s="6" t="s">
        <v>1341</v>
      </c>
    </row>
    <row r="206" spans="1:16" x14ac:dyDescent="0.25">
      <c r="A206" s="6" t="s">
        <v>657</v>
      </c>
      <c r="B206" s="6" t="s">
        <v>1255</v>
      </c>
      <c r="C206" s="6" t="s">
        <v>1329</v>
      </c>
      <c r="D206" s="6">
        <v>85</v>
      </c>
      <c r="E206" s="6" t="s">
        <v>1271</v>
      </c>
      <c r="F206" s="6" t="s">
        <v>196</v>
      </c>
      <c r="G206" s="6" t="s">
        <v>1497</v>
      </c>
      <c r="H206" s="9" t="s">
        <v>1501</v>
      </c>
      <c r="I206" s="9" t="s">
        <v>1502</v>
      </c>
      <c r="J206" s="9"/>
      <c r="K206" s="9" t="s">
        <v>1344</v>
      </c>
      <c r="L206" s="9" t="s">
        <v>65</v>
      </c>
      <c r="M206" s="9" t="s">
        <v>65</v>
      </c>
      <c r="N206" s="12" t="s">
        <v>655</v>
      </c>
      <c r="O206" s="12" t="s">
        <v>1275</v>
      </c>
      <c r="P206" s="6" t="s">
        <v>1341</v>
      </c>
    </row>
    <row r="207" spans="1:16" x14ac:dyDescent="0.25">
      <c r="A207" s="6" t="s">
        <v>660</v>
      </c>
      <c r="B207" s="6" t="s">
        <v>1255</v>
      </c>
      <c r="C207" s="6" t="s">
        <v>1329</v>
      </c>
      <c r="D207" s="6">
        <v>86</v>
      </c>
      <c r="E207" s="6" t="s">
        <v>1271</v>
      </c>
      <c r="F207" s="6" t="s">
        <v>196</v>
      </c>
      <c r="G207" s="6" t="s">
        <v>1497</v>
      </c>
      <c r="H207" s="9" t="s">
        <v>1503</v>
      </c>
      <c r="I207" s="9" t="s">
        <v>1504</v>
      </c>
      <c r="J207" s="9"/>
      <c r="K207" s="9" t="s">
        <v>1344</v>
      </c>
      <c r="L207" s="9" t="s">
        <v>65</v>
      </c>
      <c r="M207" s="9" t="s">
        <v>439</v>
      </c>
      <c r="N207" s="12" t="s">
        <v>658</v>
      </c>
      <c r="O207" s="12" t="s">
        <v>1275</v>
      </c>
      <c r="P207" s="6" t="s">
        <v>1341</v>
      </c>
    </row>
    <row r="208" spans="1:16" ht="25.5" x14ac:dyDescent="0.25">
      <c r="A208" s="6" t="s">
        <v>663</v>
      </c>
      <c r="B208" s="6" t="s">
        <v>1255</v>
      </c>
      <c r="C208" s="6" t="s">
        <v>1329</v>
      </c>
      <c r="D208" s="6">
        <v>87</v>
      </c>
      <c r="E208" s="6" t="s">
        <v>1271</v>
      </c>
      <c r="F208" s="6" t="s">
        <v>196</v>
      </c>
      <c r="G208" s="6" t="s">
        <v>1497</v>
      </c>
      <c r="H208" s="9" t="s">
        <v>1505</v>
      </c>
      <c r="I208" s="9" t="s">
        <v>1506</v>
      </c>
      <c r="J208" s="9"/>
      <c r="K208" s="9" t="s">
        <v>1344</v>
      </c>
      <c r="L208" s="9" t="s">
        <v>65</v>
      </c>
      <c r="M208" s="9" t="s">
        <v>65</v>
      </c>
      <c r="N208" s="12" t="s">
        <v>661</v>
      </c>
      <c r="O208" s="12" t="s">
        <v>1275</v>
      </c>
      <c r="P208" s="6" t="s">
        <v>1341</v>
      </c>
    </row>
    <row r="209" spans="1:16" ht="25.5" x14ac:dyDescent="0.25">
      <c r="A209" s="6" t="s">
        <v>666</v>
      </c>
      <c r="B209" s="6" t="s">
        <v>1255</v>
      </c>
      <c r="C209" s="6" t="s">
        <v>1329</v>
      </c>
      <c r="D209" s="6">
        <v>88</v>
      </c>
      <c r="E209" s="6" t="s">
        <v>1271</v>
      </c>
      <c r="F209" s="6" t="s">
        <v>196</v>
      </c>
      <c r="G209" s="6" t="s">
        <v>1497</v>
      </c>
      <c r="H209" s="9" t="s">
        <v>1354</v>
      </c>
      <c r="I209" s="9" t="s">
        <v>1507</v>
      </c>
      <c r="J209" s="9" t="s">
        <v>1340</v>
      </c>
      <c r="K209" s="9"/>
      <c r="L209" s="9"/>
      <c r="M209" s="9"/>
      <c r="N209" s="12" t="s">
        <v>664</v>
      </c>
      <c r="O209" s="12" t="s">
        <v>1275</v>
      </c>
      <c r="P209" s="6" t="s">
        <v>1341</v>
      </c>
    </row>
    <row r="210" spans="1:16" ht="25.5" x14ac:dyDescent="0.25">
      <c r="A210" s="6" t="s">
        <v>669</v>
      </c>
      <c r="B210" s="6" t="s">
        <v>1255</v>
      </c>
      <c r="C210" s="6" t="s">
        <v>1329</v>
      </c>
      <c r="D210" s="6">
        <v>88</v>
      </c>
      <c r="E210" s="6" t="s">
        <v>1271</v>
      </c>
      <c r="F210" s="6" t="s">
        <v>196</v>
      </c>
      <c r="G210" s="6" t="s">
        <v>1497</v>
      </c>
      <c r="H210" s="9" t="s">
        <v>1508</v>
      </c>
      <c r="I210" s="9" t="s">
        <v>1509</v>
      </c>
      <c r="J210" s="9"/>
      <c r="K210" s="9" t="s">
        <v>1358</v>
      </c>
      <c r="L210" s="9" t="s">
        <v>65</v>
      </c>
      <c r="M210" s="9" t="s">
        <v>65</v>
      </c>
      <c r="N210" s="12" t="s">
        <v>667</v>
      </c>
      <c r="O210" s="12" t="s">
        <v>1275</v>
      </c>
      <c r="P210" s="6" t="s">
        <v>1341</v>
      </c>
    </row>
    <row r="211" spans="1:16" x14ac:dyDescent="0.25">
      <c r="A211" s="6" t="s">
        <v>672</v>
      </c>
      <c r="B211" s="6" t="s">
        <v>1255</v>
      </c>
      <c r="C211" s="6" t="s">
        <v>1329</v>
      </c>
      <c r="D211" s="6">
        <v>89</v>
      </c>
      <c r="E211" s="6" t="s">
        <v>1271</v>
      </c>
      <c r="F211" s="6" t="s">
        <v>196</v>
      </c>
      <c r="G211" s="6" t="s">
        <v>1497</v>
      </c>
      <c r="H211" s="9" t="s">
        <v>1510</v>
      </c>
      <c r="I211" s="9" t="s">
        <v>1511</v>
      </c>
      <c r="J211" s="9"/>
      <c r="K211" s="9" t="s">
        <v>1358</v>
      </c>
      <c r="L211" s="9" t="s">
        <v>65</v>
      </c>
      <c r="M211" s="9" t="s">
        <v>65</v>
      </c>
      <c r="N211" s="12" t="s">
        <v>670</v>
      </c>
      <c r="O211" s="12" t="s">
        <v>1275</v>
      </c>
      <c r="P211" s="6" t="s">
        <v>1341</v>
      </c>
    </row>
    <row r="212" spans="1:16" ht="25.5" x14ac:dyDescent="0.25">
      <c r="A212" s="6" t="s">
        <v>675</v>
      </c>
      <c r="B212" s="6" t="s">
        <v>1255</v>
      </c>
      <c r="C212" s="6" t="s">
        <v>1329</v>
      </c>
      <c r="D212" s="6">
        <v>90</v>
      </c>
      <c r="E212" s="6" t="s">
        <v>1271</v>
      </c>
      <c r="F212" s="6" t="s">
        <v>196</v>
      </c>
      <c r="G212" s="6" t="s">
        <v>1497</v>
      </c>
      <c r="H212" s="9" t="s">
        <v>1512</v>
      </c>
      <c r="I212" s="9" t="s">
        <v>1513</v>
      </c>
      <c r="J212" s="9" t="s">
        <v>1340</v>
      </c>
      <c r="K212" s="9"/>
      <c r="L212" s="9"/>
      <c r="M212" s="9"/>
      <c r="N212" s="12" t="s">
        <v>673</v>
      </c>
      <c r="O212" s="12" t="s">
        <v>1275</v>
      </c>
      <c r="P212" s="6" t="s">
        <v>1341</v>
      </c>
    </row>
    <row r="213" spans="1:16" x14ac:dyDescent="0.25">
      <c r="A213" s="6" t="s">
        <v>678</v>
      </c>
      <c r="B213" s="6" t="s">
        <v>1255</v>
      </c>
      <c r="C213" s="6" t="s">
        <v>1329</v>
      </c>
      <c r="D213" s="6">
        <v>90</v>
      </c>
      <c r="E213" s="6" t="s">
        <v>1271</v>
      </c>
      <c r="F213" s="6" t="s">
        <v>196</v>
      </c>
      <c r="G213" s="6" t="s">
        <v>1497</v>
      </c>
      <c r="H213" s="9" t="s">
        <v>1514</v>
      </c>
      <c r="I213" s="9" t="s">
        <v>1515</v>
      </c>
      <c r="J213" s="9"/>
      <c r="K213" s="9" t="s">
        <v>1516</v>
      </c>
      <c r="L213" s="9" t="s">
        <v>65</v>
      </c>
      <c r="M213" s="9" t="s">
        <v>65</v>
      </c>
      <c r="N213" s="12" t="s">
        <v>676</v>
      </c>
      <c r="O213" s="12" t="s">
        <v>1275</v>
      </c>
      <c r="P213" s="6" t="s">
        <v>1341</v>
      </c>
    </row>
    <row r="214" spans="1:16" ht="25.5" x14ac:dyDescent="0.25">
      <c r="A214" s="6" t="s">
        <v>681</v>
      </c>
      <c r="B214" s="6" t="s">
        <v>1255</v>
      </c>
      <c r="C214" s="6" t="s">
        <v>1329</v>
      </c>
      <c r="D214" s="6">
        <v>91</v>
      </c>
      <c r="E214" s="6" t="s">
        <v>1271</v>
      </c>
      <c r="F214" s="6" t="s">
        <v>196</v>
      </c>
      <c r="G214" s="6" t="s">
        <v>1497</v>
      </c>
      <c r="H214" s="9" t="s">
        <v>1373</v>
      </c>
      <c r="I214" s="9" t="s">
        <v>1517</v>
      </c>
      <c r="J214" s="9" t="s">
        <v>1340</v>
      </c>
      <c r="K214" s="9"/>
      <c r="L214" s="9"/>
      <c r="M214" s="9"/>
      <c r="N214" s="12" t="s">
        <v>679</v>
      </c>
      <c r="O214" s="12" t="s">
        <v>1275</v>
      </c>
      <c r="P214" s="6" t="s">
        <v>1341</v>
      </c>
    </row>
    <row r="215" spans="1:16" x14ac:dyDescent="0.25">
      <c r="A215" s="6" t="s">
        <v>684</v>
      </c>
      <c r="B215" s="6" t="s">
        <v>1255</v>
      </c>
      <c r="C215" s="6" t="s">
        <v>1329</v>
      </c>
      <c r="D215" s="6">
        <v>91</v>
      </c>
      <c r="E215" s="6" t="s">
        <v>1271</v>
      </c>
      <c r="F215" s="6" t="s">
        <v>196</v>
      </c>
      <c r="G215" s="6" t="s">
        <v>1497</v>
      </c>
      <c r="H215" s="9" t="s">
        <v>1518</v>
      </c>
      <c r="I215" s="9" t="s">
        <v>1519</v>
      </c>
      <c r="J215" s="9"/>
      <c r="K215" s="9" t="s">
        <v>1377</v>
      </c>
      <c r="L215" s="9" t="s">
        <v>65</v>
      </c>
      <c r="M215" s="9" t="s">
        <v>439</v>
      </c>
      <c r="N215" s="12" t="s">
        <v>682</v>
      </c>
      <c r="O215" s="12" t="s">
        <v>1275</v>
      </c>
      <c r="P215" s="6" t="s">
        <v>1341</v>
      </c>
    </row>
    <row r="216" spans="1:16" x14ac:dyDescent="0.25">
      <c r="A216" s="6" t="s">
        <v>687</v>
      </c>
      <c r="B216" s="6" t="s">
        <v>1255</v>
      </c>
      <c r="C216" s="6" t="s">
        <v>1329</v>
      </c>
      <c r="D216" s="6">
        <v>92</v>
      </c>
      <c r="E216" s="6" t="s">
        <v>1271</v>
      </c>
      <c r="F216" s="6" t="s">
        <v>196</v>
      </c>
      <c r="G216" s="6" t="s">
        <v>1497</v>
      </c>
      <c r="H216" s="9" t="s">
        <v>1520</v>
      </c>
      <c r="I216" s="9" t="s">
        <v>1521</v>
      </c>
      <c r="J216" s="9"/>
      <c r="K216" s="9" t="s">
        <v>1377</v>
      </c>
      <c r="L216" s="9" t="s">
        <v>65</v>
      </c>
      <c r="M216" s="9" t="s">
        <v>439</v>
      </c>
      <c r="N216" s="12" t="s">
        <v>685</v>
      </c>
      <c r="O216" s="12" t="s">
        <v>1275</v>
      </c>
      <c r="P216" s="6" t="s">
        <v>1341</v>
      </c>
    </row>
    <row r="217" spans="1:16" x14ac:dyDescent="0.25">
      <c r="A217" s="6" t="s">
        <v>1522</v>
      </c>
      <c r="B217" s="6" t="s">
        <v>1255</v>
      </c>
      <c r="C217" s="6" t="s">
        <v>1329</v>
      </c>
      <c r="D217" s="6">
        <v>95</v>
      </c>
      <c r="E217" s="6" t="s">
        <v>1257</v>
      </c>
      <c r="F217" s="6" t="s">
        <v>196</v>
      </c>
      <c r="G217" s="6"/>
      <c r="H217" s="9" t="s">
        <v>1495</v>
      </c>
      <c r="I217" s="9"/>
      <c r="J217" s="9"/>
      <c r="K217" s="9"/>
      <c r="L217" s="9"/>
      <c r="M217" s="9"/>
      <c r="N217" s="12"/>
      <c r="O217" s="12" t="s">
        <v>236</v>
      </c>
      <c r="P217" s="6" t="s">
        <v>1330</v>
      </c>
    </row>
    <row r="218" spans="1:16" x14ac:dyDescent="0.25">
      <c r="A218" s="6" t="s">
        <v>1523</v>
      </c>
      <c r="B218" s="6" t="s">
        <v>1255</v>
      </c>
      <c r="C218" s="6" t="s">
        <v>1329</v>
      </c>
      <c r="D218" s="6">
        <v>96</v>
      </c>
      <c r="E218" s="6" t="s">
        <v>1257</v>
      </c>
      <c r="F218" s="6" t="s">
        <v>196</v>
      </c>
      <c r="G218" s="6" t="s">
        <v>1524</v>
      </c>
      <c r="H218" s="9" t="s">
        <v>1524</v>
      </c>
      <c r="I218" s="9"/>
      <c r="J218" s="9"/>
      <c r="K218" s="9"/>
      <c r="L218" s="9"/>
      <c r="M218" s="9"/>
      <c r="N218" s="12"/>
      <c r="O218" s="12" t="s">
        <v>236</v>
      </c>
      <c r="P218" s="6" t="s">
        <v>1330</v>
      </c>
    </row>
    <row r="219" spans="1:16" x14ac:dyDescent="0.25">
      <c r="A219" s="6" t="s">
        <v>1525</v>
      </c>
      <c r="B219" s="6" t="s">
        <v>1255</v>
      </c>
      <c r="C219" s="6" t="s">
        <v>1329</v>
      </c>
      <c r="D219" s="6">
        <v>97</v>
      </c>
      <c r="E219" s="6" t="s">
        <v>1257</v>
      </c>
      <c r="F219" s="6" t="s">
        <v>196</v>
      </c>
      <c r="G219" s="6" t="s">
        <v>1524</v>
      </c>
      <c r="H219" s="9" t="s">
        <v>1334</v>
      </c>
      <c r="I219" s="9"/>
      <c r="J219" s="9"/>
      <c r="K219" s="9"/>
      <c r="L219" s="9"/>
      <c r="M219" s="9"/>
      <c r="N219" s="12"/>
      <c r="O219" s="12" t="s">
        <v>236</v>
      </c>
      <c r="P219" s="6" t="s">
        <v>1330</v>
      </c>
    </row>
    <row r="220" spans="1:16" x14ac:dyDescent="0.25">
      <c r="A220" s="6" t="s">
        <v>1526</v>
      </c>
      <c r="B220" s="6" t="s">
        <v>1255</v>
      </c>
      <c r="C220" s="6" t="s">
        <v>1329</v>
      </c>
      <c r="D220" s="6">
        <v>98</v>
      </c>
      <c r="E220" s="6" t="s">
        <v>1257</v>
      </c>
      <c r="F220" s="6" t="s">
        <v>196</v>
      </c>
      <c r="G220" s="6" t="s">
        <v>1524</v>
      </c>
      <c r="H220" s="9" t="s">
        <v>1336</v>
      </c>
      <c r="I220" s="9" t="s">
        <v>102</v>
      </c>
      <c r="J220" s="9" t="s">
        <v>1337</v>
      </c>
      <c r="K220" s="9"/>
      <c r="L220" s="9"/>
      <c r="M220" s="9"/>
      <c r="N220" s="12"/>
      <c r="O220" s="12" t="s">
        <v>236</v>
      </c>
      <c r="P220" s="6" t="s">
        <v>1330</v>
      </c>
    </row>
    <row r="221" spans="1:16" ht="25.5" x14ac:dyDescent="0.25">
      <c r="A221" s="6" t="s">
        <v>691</v>
      </c>
      <c r="B221" s="6" t="s">
        <v>1255</v>
      </c>
      <c r="C221" s="6" t="s">
        <v>1329</v>
      </c>
      <c r="D221" s="6">
        <v>99</v>
      </c>
      <c r="E221" s="6" t="s">
        <v>1271</v>
      </c>
      <c r="F221" s="6" t="s">
        <v>196</v>
      </c>
      <c r="G221" s="6" t="s">
        <v>1524</v>
      </c>
      <c r="H221" s="9" t="s">
        <v>1338</v>
      </c>
      <c r="I221" s="9" t="s">
        <v>1527</v>
      </c>
      <c r="J221" s="9" t="s">
        <v>1340</v>
      </c>
      <c r="K221" s="9"/>
      <c r="L221" s="9"/>
      <c r="M221" s="9"/>
      <c r="N221" s="12" t="s">
        <v>688</v>
      </c>
      <c r="O221" s="12" t="s">
        <v>1275</v>
      </c>
      <c r="P221" s="6" t="s">
        <v>1341</v>
      </c>
    </row>
    <row r="222" spans="1:16" x14ac:dyDescent="0.25">
      <c r="A222" s="6" t="s">
        <v>694</v>
      </c>
      <c r="B222" s="6" t="s">
        <v>1255</v>
      </c>
      <c r="C222" s="6" t="s">
        <v>1329</v>
      </c>
      <c r="D222" s="6">
        <v>99</v>
      </c>
      <c r="E222" s="6" t="s">
        <v>1271</v>
      </c>
      <c r="F222" s="6" t="s">
        <v>196</v>
      </c>
      <c r="G222" s="6" t="s">
        <v>1524</v>
      </c>
      <c r="H222" s="9" t="s">
        <v>1528</v>
      </c>
      <c r="I222" s="9" t="s">
        <v>1529</v>
      </c>
      <c r="J222" s="9"/>
      <c r="K222" s="9" t="s">
        <v>1344</v>
      </c>
      <c r="L222" s="9" t="s">
        <v>65</v>
      </c>
      <c r="M222" s="9" t="s">
        <v>65</v>
      </c>
      <c r="N222" s="12" t="s">
        <v>692</v>
      </c>
      <c r="O222" s="12" t="s">
        <v>1275</v>
      </c>
      <c r="P222" s="6" t="s">
        <v>1341</v>
      </c>
    </row>
    <row r="223" spans="1:16" ht="25.5" x14ac:dyDescent="0.25">
      <c r="A223" s="6" t="s">
        <v>697</v>
      </c>
      <c r="B223" s="6" t="s">
        <v>1255</v>
      </c>
      <c r="C223" s="6" t="s">
        <v>1329</v>
      </c>
      <c r="D223" s="6">
        <v>100</v>
      </c>
      <c r="E223" s="6" t="s">
        <v>1271</v>
      </c>
      <c r="F223" s="6" t="s">
        <v>196</v>
      </c>
      <c r="G223" s="6" t="s">
        <v>1524</v>
      </c>
      <c r="H223" s="9" t="s">
        <v>1354</v>
      </c>
      <c r="I223" s="9" t="s">
        <v>1530</v>
      </c>
      <c r="J223" s="9" t="s">
        <v>1340</v>
      </c>
      <c r="K223" s="9"/>
      <c r="L223" s="9"/>
      <c r="M223" s="9"/>
      <c r="N223" s="12" t="s">
        <v>695</v>
      </c>
      <c r="O223" s="12" t="s">
        <v>1275</v>
      </c>
      <c r="P223" s="6" t="s">
        <v>1341</v>
      </c>
    </row>
    <row r="224" spans="1:16" ht="25.5" x14ac:dyDescent="0.25">
      <c r="A224" s="6" t="s">
        <v>700</v>
      </c>
      <c r="B224" s="6" t="s">
        <v>1255</v>
      </c>
      <c r="C224" s="6" t="s">
        <v>1329</v>
      </c>
      <c r="D224" s="6">
        <v>100</v>
      </c>
      <c r="E224" s="6" t="s">
        <v>1271</v>
      </c>
      <c r="F224" s="6" t="s">
        <v>196</v>
      </c>
      <c r="G224" s="6" t="s">
        <v>1524</v>
      </c>
      <c r="H224" s="9" t="s">
        <v>1531</v>
      </c>
      <c r="I224" s="9" t="s">
        <v>1532</v>
      </c>
      <c r="J224" s="9"/>
      <c r="K224" s="9" t="s">
        <v>1358</v>
      </c>
      <c r="L224" s="9" t="s">
        <v>65</v>
      </c>
      <c r="M224" s="9" t="s">
        <v>65</v>
      </c>
      <c r="N224" s="12" t="s">
        <v>698</v>
      </c>
      <c r="O224" s="12" t="s">
        <v>1275</v>
      </c>
      <c r="P224" s="6" t="s">
        <v>1341</v>
      </c>
    </row>
    <row r="225" spans="1:16" x14ac:dyDescent="0.25">
      <c r="A225" s="6" t="s">
        <v>703</v>
      </c>
      <c r="B225" s="6" t="s">
        <v>1255</v>
      </c>
      <c r="C225" s="6" t="s">
        <v>1329</v>
      </c>
      <c r="D225" s="6">
        <v>101</v>
      </c>
      <c r="E225" s="6" t="s">
        <v>1271</v>
      </c>
      <c r="F225" s="6" t="s">
        <v>196</v>
      </c>
      <c r="G225" s="6" t="s">
        <v>1524</v>
      </c>
      <c r="H225" s="9" t="s">
        <v>1533</v>
      </c>
      <c r="I225" s="9" t="s">
        <v>1534</v>
      </c>
      <c r="J225" s="9"/>
      <c r="K225" s="9" t="s">
        <v>1358</v>
      </c>
      <c r="L225" s="9" t="s">
        <v>65</v>
      </c>
      <c r="M225" s="9" t="s">
        <v>65</v>
      </c>
      <c r="N225" s="12" t="s">
        <v>701</v>
      </c>
      <c r="O225" s="12" t="s">
        <v>1275</v>
      </c>
      <c r="P225" s="6" t="s">
        <v>1341</v>
      </c>
    </row>
    <row r="226" spans="1:16" ht="25.5" x14ac:dyDescent="0.25">
      <c r="A226" s="6" t="s">
        <v>706</v>
      </c>
      <c r="B226" s="6" t="s">
        <v>1255</v>
      </c>
      <c r="C226" s="6" t="s">
        <v>1329</v>
      </c>
      <c r="D226" s="6">
        <v>102</v>
      </c>
      <c r="E226" s="6" t="s">
        <v>1271</v>
      </c>
      <c r="F226" s="6" t="s">
        <v>196</v>
      </c>
      <c r="G226" s="6" t="s">
        <v>1524</v>
      </c>
      <c r="H226" s="9" t="s">
        <v>1512</v>
      </c>
      <c r="I226" s="9" t="s">
        <v>1535</v>
      </c>
      <c r="J226" s="9" t="s">
        <v>1340</v>
      </c>
      <c r="K226" s="9"/>
      <c r="L226" s="9"/>
      <c r="M226" s="9"/>
      <c r="N226" s="12" t="s">
        <v>704</v>
      </c>
      <c r="O226" s="12" t="s">
        <v>1275</v>
      </c>
      <c r="P226" s="6" t="s">
        <v>1341</v>
      </c>
    </row>
    <row r="227" spans="1:16" x14ac:dyDescent="0.25">
      <c r="A227" s="6" t="s">
        <v>709</v>
      </c>
      <c r="B227" s="6" t="s">
        <v>1255</v>
      </c>
      <c r="C227" s="6" t="s">
        <v>1329</v>
      </c>
      <c r="D227" s="6">
        <v>102</v>
      </c>
      <c r="E227" s="6" t="s">
        <v>1271</v>
      </c>
      <c r="F227" s="6" t="s">
        <v>196</v>
      </c>
      <c r="G227" s="6" t="s">
        <v>1524</v>
      </c>
      <c r="H227" s="9" t="s">
        <v>1536</v>
      </c>
      <c r="I227" s="9" t="s">
        <v>1537</v>
      </c>
      <c r="J227" s="9"/>
      <c r="K227" s="9" t="s">
        <v>1516</v>
      </c>
      <c r="L227" s="9" t="s">
        <v>65</v>
      </c>
      <c r="M227" s="9" t="s">
        <v>65</v>
      </c>
      <c r="N227" s="12" t="s">
        <v>707</v>
      </c>
      <c r="O227" s="12" t="s">
        <v>1275</v>
      </c>
      <c r="P227" s="6" t="s">
        <v>1341</v>
      </c>
    </row>
    <row r="228" spans="1:16" ht="25.5" x14ac:dyDescent="0.25">
      <c r="A228" s="6" t="s">
        <v>712</v>
      </c>
      <c r="B228" s="6" t="s">
        <v>1255</v>
      </c>
      <c r="C228" s="6" t="s">
        <v>1329</v>
      </c>
      <c r="D228" s="6">
        <v>103</v>
      </c>
      <c r="E228" s="6" t="s">
        <v>1271</v>
      </c>
      <c r="F228" s="6" t="s">
        <v>196</v>
      </c>
      <c r="G228" s="6" t="s">
        <v>1524</v>
      </c>
      <c r="H228" s="9" t="s">
        <v>1373</v>
      </c>
      <c r="I228" s="9" t="s">
        <v>1538</v>
      </c>
      <c r="J228" s="9" t="s">
        <v>1340</v>
      </c>
      <c r="K228" s="9"/>
      <c r="L228" s="9"/>
      <c r="M228" s="9"/>
      <c r="N228" s="12" t="s">
        <v>710</v>
      </c>
      <c r="O228" s="12" t="s">
        <v>1275</v>
      </c>
      <c r="P228" s="6" t="s">
        <v>1341</v>
      </c>
    </row>
    <row r="229" spans="1:16" x14ac:dyDescent="0.25">
      <c r="A229" s="6" t="s">
        <v>715</v>
      </c>
      <c r="B229" s="6" t="s">
        <v>1255</v>
      </c>
      <c r="C229" s="6" t="s">
        <v>1329</v>
      </c>
      <c r="D229" s="6">
        <v>103</v>
      </c>
      <c r="E229" s="6" t="s">
        <v>1271</v>
      </c>
      <c r="F229" s="6" t="s">
        <v>196</v>
      </c>
      <c r="G229" s="6" t="s">
        <v>1524</v>
      </c>
      <c r="H229" s="9" t="s">
        <v>1539</v>
      </c>
      <c r="I229" s="9" t="s">
        <v>1540</v>
      </c>
      <c r="J229" s="9"/>
      <c r="K229" s="9" t="s">
        <v>1377</v>
      </c>
      <c r="L229" s="9" t="s">
        <v>65</v>
      </c>
      <c r="M229" s="9" t="s">
        <v>439</v>
      </c>
      <c r="N229" s="12" t="s">
        <v>713</v>
      </c>
      <c r="O229" s="12" t="s">
        <v>1275</v>
      </c>
      <c r="P229" s="6" t="s">
        <v>1341</v>
      </c>
    </row>
    <row r="230" spans="1:16" x14ac:dyDescent="0.25">
      <c r="A230" s="6" t="s">
        <v>718</v>
      </c>
      <c r="B230" s="6" t="s">
        <v>1255</v>
      </c>
      <c r="C230" s="6" t="s">
        <v>1329</v>
      </c>
      <c r="D230" s="6">
        <v>104</v>
      </c>
      <c r="E230" s="6" t="s">
        <v>1271</v>
      </c>
      <c r="F230" s="6" t="s">
        <v>196</v>
      </c>
      <c r="G230" s="6" t="s">
        <v>1524</v>
      </c>
      <c r="H230" s="9" t="s">
        <v>1541</v>
      </c>
      <c r="I230" s="9" t="s">
        <v>1542</v>
      </c>
      <c r="J230" s="9"/>
      <c r="K230" s="9" t="s">
        <v>1377</v>
      </c>
      <c r="L230" s="9" t="s">
        <v>65</v>
      </c>
      <c r="M230" s="9" t="s">
        <v>439</v>
      </c>
      <c r="N230" s="12" t="s">
        <v>716</v>
      </c>
      <c r="O230" s="12" t="s">
        <v>1275</v>
      </c>
      <c r="P230" s="6" t="s">
        <v>1341</v>
      </c>
    </row>
    <row r="231" spans="1:16" x14ac:dyDescent="0.25">
      <c r="A231" s="6" t="s">
        <v>1543</v>
      </c>
      <c r="B231" s="6" t="s">
        <v>1255</v>
      </c>
      <c r="C231" s="6" t="s">
        <v>1329</v>
      </c>
      <c r="D231" s="6">
        <v>107</v>
      </c>
      <c r="E231" s="6" t="s">
        <v>1257</v>
      </c>
      <c r="F231" s="6" t="s">
        <v>196</v>
      </c>
      <c r="G231" s="6"/>
      <c r="H231" s="9" t="s">
        <v>1495</v>
      </c>
      <c r="I231" s="9"/>
      <c r="J231" s="9"/>
      <c r="K231" s="9"/>
      <c r="L231" s="9"/>
      <c r="M231" s="9"/>
      <c r="N231" s="12"/>
      <c r="O231" s="12" t="s">
        <v>236</v>
      </c>
      <c r="P231" s="6" t="s">
        <v>1330</v>
      </c>
    </row>
    <row r="232" spans="1:16" x14ac:dyDescent="0.25">
      <c r="A232" s="6" t="s">
        <v>1544</v>
      </c>
      <c r="B232" s="6" t="s">
        <v>1255</v>
      </c>
      <c r="C232" s="6" t="s">
        <v>1329</v>
      </c>
      <c r="D232" s="6">
        <v>108</v>
      </c>
      <c r="E232" s="6" t="s">
        <v>1257</v>
      </c>
      <c r="F232" s="6" t="s">
        <v>196</v>
      </c>
      <c r="G232" s="6" t="s">
        <v>1545</v>
      </c>
      <c r="H232" s="9" t="s">
        <v>1545</v>
      </c>
      <c r="I232" s="9"/>
      <c r="J232" s="9"/>
      <c r="K232" s="9"/>
      <c r="L232" s="9"/>
      <c r="M232" s="9"/>
      <c r="N232" s="12"/>
      <c r="O232" s="12" t="s">
        <v>236</v>
      </c>
      <c r="P232" s="6" t="s">
        <v>1330</v>
      </c>
    </row>
    <row r="233" spans="1:16" x14ac:dyDescent="0.25">
      <c r="A233" s="6" t="s">
        <v>1546</v>
      </c>
      <c r="B233" s="6" t="s">
        <v>1255</v>
      </c>
      <c r="C233" s="6" t="s">
        <v>1329</v>
      </c>
      <c r="D233" s="6">
        <v>109</v>
      </c>
      <c r="E233" s="6" t="s">
        <v>1257</v>
      </c>
      <c r="F233" s="6" t="s">
        <v>196</v>
      </c>
      <c r="G233" s="6" t="s">
        <v>1545</v>
      </c>
      <c r="H233" s="9" t="s">
        <v>1334</v>
      </c>
      <c r="I233" s="9"/>
      <c r="J233" s="9"/>
      <c r="K233" s="9"/>
      <c r="L233" s="9"/>
      <c r="M233" s="9"/>
      <c r="N233" s="12"/>
      <c r="O233" s="12" t="s">
        <v>236</v>
      </c>
      <c r="P233" s="6" t="s">
        <v>1330</v>
      </c>
    </row>
    <row r="234" spans="1:16" x14ac:dyDescent="0.25">
      <c r="A234" s="6" t="s">
        <v>1547</v>
      </c>
      <c r="B234" s="6" t="s">
        <v>1255</v>
      </c>
      <c r="C234" s="6" t="s">
        <v>1329</v>
      </c>
      <c r="D234" s="6">
        <v>110</v>
      </c>
      <c r="E234" s="6" t="s">
        <v>1257</v>
      </c>
      <c r="F234" s="6" t="s">
        <v>196</v>
      </c>
      <c r="G234" s="6" t="s">
        <v>1545</v>
      </c>
      <c r="H234" s="9" t="s">
        <v>1336</v>
      </c>
      <c r="I234" s="9" t="s">
        <v>102</v>
      </c>
      <c r="J234" s="9" t="s">
        <v>1337</v>
      </c>
      <c r="K234" s="9"/>
      <c r="L234" s="9"/>
      <c r="M234" s="9"/>
      <c r="N234" s="12"/>
      <c r="O234" s="12" t="s">
        <v>236</v>
      </c>
      <c r="P234" s="6" t="s">
        <v>1330</v>
      </c>
    </row>
    <row r="235" spans="1:16" ht="25.5" x14ac:dyDescent="0.25">
      <c r="A235" s="6" t="s">
        <v>722</v>
      </c>
      <c r="B235" s="6" t="s">
        <v>1255</v>
      </c>
      <c r="C235" s="6" t="s">
        <v>1329</v>
      </c>
      <c r="D235" s="6">
        <v>111</v>
      </c>
      <c r="E235" s="6" t="s">
        <v>1271</v>
      </c>
      <c r="F235" s="6" t="s">
        <v>196</v>
      </c>
      <c r="G235" s="6" t="s">
        <v>1545</v>
      </c>
      <c r="H235" s="9" t="s">
        <v>1338</v>
      </c>
      <c r="I235" s="9" t="s">
        <v>1548</v>
      </c>
      <c r="J235" s="9" t="s">
        <v>1340</v>
      </c>
      <c r="K235" s="9"/>
      <c r="L235" s="9"/>
      <c r="M235" s="9"/>
      <c r="N235" s="12" t="s">
        <v>719</v>
      </c>
      <c r="O235" s="12" t="s">
        <v>1275</v>
      </c>
      <c r="P235" s="6" t="s">
        <v>1341</v>
      </c>
    </row>
    <row r="236" spans="1:16" ht="25.5" x14ac:dyDescent="0.25">
      <c r="A236" s="6" t="s">
        <v>725</v>
      </c>
      <c r="B236" s="6" t="s">
        <v>1255</v>
      </c>
      <c r="C236" s="6" t="s">
        <v>1329</v>
      </c>
      <c r="D236" s="6">
        <v>111</v>
      </c>
      <c r="E236" s="6" t="s">
        <v>1271</v>
      </c>
      <c r="F236" s="6" t="s">
        <v>196</v>
      </c>
      <c r="G236" s="6" t="s">
        <v>1545</v>
      </c>
      <c r="H236" s="9" t="s">
        <v>1549</v>
      </c>
      <c r="I236" s="9" t="s">
        <v>1550</v>
      </c>
      <c r="J236" s="9"/>
      <c r="K236" s="9" t="s">
        <v>1344</v>
      </c>
      <c r="L236" s="9" t="s">
        <v>65</v>
      </c>
      <c r="M236" s="9" t="s">
        <v>65</v>
      </c>
      <c r="N236" s="12" t="s">
        <v>723</v>
      </c>
      <c r="O236" s="12" t="s">
        <v>1275</v>
      </c>
      <c r="P236" s="6" t="s">
        <v>1341</v>
      </c>
    </row>
    <row r="237" spans="1:16" ht="25.5" x14ac:dyDescent="0.25">
      <c r="A237" s="6" t="s">
        <v>728</v>
      </c>
      <c r="B237" s="6" t="s">
        <v>1255</v>
      </c>
      <c r="C237" s="6" t="s">
        <v>1329</v>
      </c>
      <c r="D237" s="6">
        <v>112</v>
      </c>
      <c r="E237" s="6" t="s">
        <v>1271</v>
      </c>
      <c r="F237" s="6" t="s">
        <v>196</v>
      </c>
      <c r="G237" s="6" t="s">
        <v>1545</v>
      </c>
      <c r="H237" s="9" t="s">
        <v>1354</v>
      </c>
      <c r="I237" s="9" t="s">
        <v>1551</v>
      </c>
      <c r="J237" s="9" t="s">
        <v>1340</v>
      </c>
      <c r="K237" s="9"/>
      <c r="L237" s="9"/>
      <c r="M237" s="9"/>
      <c r="N237" s="12" t="s">
        <v>726</v>
      </c>
      <c r="O237" s="12" t="s">
        <v>1275</v>
      </c>
      <c r="P237" s="6" t="s">
        <v>1341</v>
      </c>
    </row>
    <row r="238" spans="1:16" ht="25.5" x14ac:dyDescent="0.25">
      <c r="A238" s="6" t="s">
        <v>731</v>
      </c>
      <c r="B238" s="6" t="s">
        <v>1255</v>
      </c>
      <c r="C238" s="6" t="s">
        <v>1329</v>
      </c>
      <c r="D238" s="6">
        <v>112</v>
      </c>
      <c r="E238" s="6" t="s">
        <v>1271</v>
      </c>
      <c r="F238" s="6" t="s">
        <v>196</v>
      </c>
      <c r="G238" s="6" t="s">
        <v>1545</v>
      </c>
      <c r="H238" s="9" t="s">
        <v>1552</v>
      </c>
      <c r="I238" s="9" t="s">
        <v>1553</v>
      </c>
      <c r="J238" s="9"/>
      <c r="K238" s="9" t="s">
        <v>1358</v>
      </c>
      <c r="L238" s="9" t="s">
        <v>65</v>
      </c>
      <c r="M238" s="9" t="s">
        <v>65</v>
      </c>
      <c r="N238" s="12" t="s">
        <v>729</v>
      </c>
      <c r="O238" s="12" t="s">
        <v>1275</v>
      </c>
      <c r="P238" s="6" t="s">
        <v>1341</v>
      </c>
    </row>
    <row r="239" spans="1:16" ht="25.5" x14ac:dyDescent="0.25">
      <c r="A239" s="6" t="s">
        <v>734</v>
      </c>
      <c r="B239" s="6" t="s">
        <v>1255</v>
      </c>
      <c r="C239" s="6" t="s">
        <v>1329</v>
      </c>
      <c r="D239" s="6">
        <v>113</v>
      </c>
      <c r="E239" s="6" t="s">
        <v>1271</v>
      </c>
      <c r="F239" s="6" t="s">
        <v>196</v>
      </c>
      <c r="G239" s="6" t="s">
        <v>1545</v>
      </c>
      <c r="H239" s="9" t="s">
        <v>1512</v>
      </c>
      <c r="I239" s="9" t="s">
        <v>1554</v>
      </c>
      <c r="J239" s="9" t="s">
        <v>1340</v>
      </c>
      <c r="K239" s="9"/>
      <c r="L239" s="9"/>
      <c r="M239" s="9"/>
      <c r="N239" s="12" t="s">
        <v>732</v>
      </c>
      <c r="O239" s="12" t="s">
        <v>1275</v>
      </c>
      <c r="P239" s="6" t="s">
        <v>1341</v>
      </c>
    </row>
    <row r="240" spans="1:16" ht="25.5" x14ac:dyDescent="0.25">
      <c r="A240" s="6" t="s">
        <v>737</v>
      </c>
      <c r="B240" s="6" t="s">
        <v>1255</v>
      </c>
      <c r="C240" s="6" t="s">
        <v>1329</v>
      </c>
      <c r="D240" s="6">
        <v>113</v>
      </c>
      <c r="E240" s="6" t="s">
        <v>1271</v>
      </c>
      <c r="F240" s="6" t="s">
        <v>196</v>
      </c>
      <c r="G240" s="6" t="s">
        <v>1545</v>
      </c>
      <c r="H240" s="9" t="s">
        <v>1555</v>
      </c>
      <c r="I240" s="9" t="s">
        <v>1556</v>
      </c>
      <c r="J240" s="9"/>
      <c r="K240" s="9" t="s">
        <v>1516</v>
      </c>
      <c r="L240" s="9" t="s">
        <v>65</v>
      </c>
      <c r="M240" s="9" t="s">
        <v>65</v>
      </c>
      <c r="N240" s="12" t="s">
        <v>735</v>
      </c>
      <c r="O240" s="12" t="s">
        <v>1275</v>
      </c>
      <c r="P240" s="6" t="s">
        <v>1341</v>
      </c>
    </row>
    <row r="241" spans="1:16" x14ac:dyDescent="0.25">
      <c r="A241" s="6" t="s">
        <v>1557</v>
      </c>
      <c r="B241" s="6" t="s">
        <v>1255</v>
      </c>
      <c r="C241" s="6" t="s">
        <v>1329</v>
      </c>
      <c r="D241" s="6">
        <v>116</v>
      </c>
      <c r="E241" s="6" t="s">
        <v>1257</v>
      </c>
      <c r="F241" s="6" t="s">
        <v>224</v>
      </c>
      <c r="G241" s="6"/>
      <c r="H241" s="9" t="s">
        <v>1558</v>
      </c>
      <c r="I241" s="9"/>
      <c r="J241" s="9"/>
      <c r="K241" s="9"/>
      <c r="L241" s="9"/>
      <c r="M241" s="9"/>
      <c r="N241" s="12"/>
      <c r="O241" s="12" t="s">
        <v>236</v>
      </c>
      <c r="P241" s="6" t="s">
        <v>1330</v>
      </c>
    </row>
    <row r="242" spans="1:16" x14ac:dyDescent="0.25">
      <c r="A242" s="6" t="s">
        <v>1559</v>
      </c>
      <c r="B242" s="6" t="s">
        <v>1255</v>
      </c>
      <c r="C242" s="6" t="s">
        <v>1329</v>
      </c>
      <c r="D242" s="6">
        <v>117</v>
      </c>
      <c r="E242" s="6" t="s">
        <v>1257</v>
      </c>
      <c r="F242" s="6" t="s">
        <v>224</v>
      </c>
      <c r="G242" s="6" t="s">
        <v>1560</v>
      </c>
      <c r="H242" s="9" t="s">
        <v>1560</v>
      </c>
      <c r="I242" s="9"/>
      <c r="J242" s="9"/>
      <c r="K242" s="9"/>
      <c r="L242" s="9"/>
      <c r="M242" s="9"/>
      <c r="N242" s="12"/>
      <c r="O242" s="12" t="s">
        <v>236</v>
      </c>
      <c r="P242" s="6" t="s">
        <v>1330</v>
      </c>
    </row>
    <row r="243" spans="1:16" x14ac:dyDescent="0.25">
      <c r="A243" s="6" t="s">
        <v>1561</v>
      </c>
      <c r="B243" s="6" t="s">
        <v>1255</v>
      </c>
      <c r="C243" s="6" t="s">
        <v>1329</v>
      </c>
      <c r="D243" s="6">
        <v>118</v>
      </c>
      <c r="E243" s="6" t="s">
        <v>1257</v>
      </c>
      <c r="F243" s="6" t="s">
        <v>224</v>
      </c>
      <c r="G243" s="6" t="s">
        <v>1560</v>
      </c>
      <c r="H243" s="9" t="s">
        <v>1334</v>
      </c>
      <c r="I243" s="9"/>
      <c r="J243" s="9"/>
      <c r="K243" s="9"/>
      <c r="L243" s="9"/>
      <c r="M243" s="9"/>
      <c r="N243" s="12"/>
      <c r="O243" s="12" t="s">
        <v>236</v>
      </c>
      <c r="P243" s="6" t="s">
        <v>1330</v>
      </c>
    </row>
    <row r="244" spans="1:16" x14ac:dyDescent="0.25">
      <c r="A244" s="6" t="s">
        <v>1562</v>
      </c>
      <c r="B244" s="6" t="s">
        <v>1255</v>
      </c>
      <c r="C244" s="6" t="s">
        <v>1329</v>
      </c>
      <c r="D244" s="6">
        <v>119</v>
      </c>
      <c r="E244" s="6" t="s">
        <v>1257</v>
      </c>
      <c r="F244" s="6" t="s">
        <v>224</v>
      </c>
      <c r="G244" s="6" t="s">
        <v>1560</v>
      </c>
      <c r="H244" s="9" t="s">
        <v>1336</v>
      </c>
      <c r="I244" s="9" t="s">
        <v>102</v>
      </c>
      <c r="J244" s="9" t="s">
        <v>1337</v>
      </c>
      <c r="K244" s="9"/>
      <c r="L244" s="9"/>
      <c r="M244" s="9"/>
      <c r="N244" s="12"/>
      <c r="O244" s="12" t="s">
        <v>236</v>
      </c>
      <c r="P244" s="6" t="s">
        <v>1330</v>
      </c>
    </row>
    <row r="245" spans="1:16" x14ac:dyDescent="0.25">
      <c r="A245" s="6" t="s">
        <v>742</v>
      </c>
      <c r="B245" s="6" t="s">
        <v>1255</v>
      </c>
      <c r="C245" s="6" t="s">
        <v>1329</v>
      </c>
      <c r="D245" s="6">
        <v>120</v>
      </c>
      <c r="E245" s="6" t="s">
        <v>1271</v>
      </c>
      <c r="F245" s="6" t="s">
        <v>224</v>
      </c>
      <c r="G245" s="6" t="s">
        <v>1560</v>
      </c>
      <c r="H245" s="9" t="s">
        <v>1563</v>
      </c>
      <c r="I245" s="9" t="s">
        <v>1564</v>
      </c>
      <c r="J245" s="9" t="s">
        <v>1340</v>
      </c>
      <c r="K245" s="9"/>
      <c r="L245" s="9"/>
      <c r="M245" s="9"/>
      <c r="N245" s="12" t="s">
        <v>738</v>
      </c>
      <c r="O245" s="12" t="s">
        <v>1275</v>
      </c>
      <c r="P245" s="6" t="s">
        <v>1341</v>
      </c>
    </row>
    <row r="246" spans="1:16" ht="25.5" x14ac:dyDescent="0.25">
      <c r="A246" s="6" t="s">
        <v>745</v>
      </c>
      <c r="B246" s="6" t="s">
        <v>1255</v>
      </c>
      <c r="C246" s="6" t="s">
        <v>1329</v>
      </c>
      <c r="D246" s="6">
        <v>120</v>
      </c>
      <c r="E246" s="6" t="s">
        <v>1271</v>
      </c>
      <c r="F246" s="6" t="s">
        <v>224</v>
      </c>
      <c r="G246" s="6" t="s">
        <v>1560</v>
      </c>
      <c r="H246" s="9" t="s">
        <v>1565</v>
      </c>
      <c r="I246" s="9" t="s">
        <v>1566</v>
      </c>
      <c r="J246" s="9"/>
      <c r="K246" s="9" t="s">
        <v>1567</v>
      </c>
      <c r="L246" s="9" t="s">
        <v>65</v>
      </c>
      <c r="M246" s="9" t="s">
        <v>65</v>
      </c>
      <c r="N246" s="12" t="s">
        <v>743</v>
      </c>
      <c r="O246" s="12" t="s">
        <v>1275</v>
      </c>
      <c r="P246" s="6" t="s">
        <v>1341</v>
      </c>
    </row>
    <row r="247" spans="1:16" ht="25.5" x14ac:dyDescent="0.25">
      <c r="A247" s="6" t="s">
        <v>748</v>
      </c>
      <c r="B247" s="6" t="s">
        <v>1255</v>
      </c>
      <c r="C247" s="6" t="s">
        <v>1329</v>
      </c>
      <c r="D247" s="6">
        <v>121</v>
      </c>
      <c r="E247" s="6" t="s">
        <v>1271</v>
      </c>
      <c r="F247" s="6" t="s">
        <v>224</v>
      </c>
      <c r="G247" s="6" t="s">
        <v>1560</v>
      </c>
      <c r="H247" s="9" t="s">
        <v>1568</v>
      </c>
      <c r="I247" s="9" t="s">
        <v>1569</v>
      </c>
      <c r="J247" s="9"/>
      <c r="K247" s="9" t="s">
        <v>1567</v>
      </c>
      <c r="L247" s="9" t="s">
        <v>65</v>
      </c>
      <c r="M247" s="9" t="s">
        <v>65</v>
      </c>
      <c r="N247" s="12" t="s">
        <v>746</v>
      </c>
      <c r="O247" s="12" t="s">
        <v>1275</v>
      </c>
      <c r="P247" s="6" t="s">
        <v>1341</v>
      </c>
    </row>
    <row r="248" spans="1:16" x14ac:dyDescent="0.25">
      <c r="A248" s="6" t="s">
        <v>1570</v>
      </c>
      <c r="B248" s="6" t="s">
        <v>1255</v>
      </c>
      <c r="C248" s="6" t="s">
        <v>1329</v>
      </c>
      <c r="D248" s="6">
        <v>124</v>
      </c>
      <c r="E248" s="6" t="s">
        <v>1257</v>
      </c>
      <c r="F248" s="6" t="s">
        <v>224</v>
      </c>
      <c r="G248" s="6"/>
      <c r="H248" s="9" t="s">
        <v>1558</v>
      </c>
      <c r="I248" s="9"/>
      <c r="J248" s="9"/>
      <c r="K248" s="9"/>
      <c r="L248" s="9"/>
      <c r="M248" s="9"/>
      <c r="N248" s="12"/>
      <c r="O248" s="12" t="s">
        <v>236</v>
      </c>
      <c r="P248" s="6" t="s">
        <v>1330</v>
      </c>
    </row>
    <row r="249" spans="1:16" x14ac:dyDescent="0.25">
      <c r="A249" s="6" t="s">
        <v>1571</v>
      </c>
      <c r="B249" s="6" t="s">
        <v>1255</v>
      </c>
      <c r="C249" s="6" t="s">
        <v>1329</v>
      </c>
      <c r="D249" s="6">
        <v>125</v>
      </c>
      <c r="E249" s="6" t="s">
        <v>1257</v>
      </c>
      <c r="F249" s="6" t="s">
        <v>224</v>
      </c>
      <c r="G249" s="6" t="s">
        <v>1572</v>
      </c>
      <c r="H249" s="9" t="s">
        <v>1572</v>
      </c>
      <c r="I249" s="9"/>
      <c r="J249" s="9"/>
      <c r="K249" s="9"/>
      <c r="L249" s="9"/>
      <c r="M249" s="9"/>
      <c r="N249" s="12"/>
      <c r="O249" s="12" t="s">
        <v>236</v>
      </c>
      <c r="P249" s="6" t="s">
        <v>1330</v>
      </c>
    </row>
    <row r="250" spans="1:16" x14ac:dyDescent="0.25">
      <c r="A250" s="6" t="s">
        <v>1573</v>
      </c>
      <c r="B250" s="6" t="s">
        <v>1255</v>
      </c>
      <c r="C250" s="6" t="s">
        <v>1329</v>
      </c>
      <c r="D250" s="6">
        <v>126</v>
      </c>
      <c r="E250" s="6" t="s">
        <v>1257</v>
      </c>
      <c r="F250" s="6" t="s">
        <v>224</v>
      </c>
      <c r="G250" s="6" t="s">
        <v>1572</v>
      </c>
      <c r="H250" s="9" t="s">
        <v>1334</v>
      </c>
      <c r="I250" s="9"/>
      <c r="J250" s="9"/>
      <c r="K250" s="9"/>
      <c r="L250" s="9"/>
      <c r="M250" s="9"/>
      <c r="N250" s="12"/>
      <c r="O250" s="12" t="s">
        <v>236</v>
      </c>
      <c r="P250" s="6" t="s">
        <v>1330</v>
      </c>
    </row>
    <row r="251" spans="1:16" x14ac:dyDescent="0.25">
      <c r="A251" s="6" t="s">
        <v>1574</v>
      </c>
      <c r="B251" s="6" t="s">
        <v>1255</v>
      </c>
      <c r="C251" s="6" t="s">
        <v>1329</v>
      </c>
      <c r="D251" s="6">
        <v>127</v>
      </c>
      <c r="E251" s="6" t="s">
        <v>1257</v>
      </c>
      <c r="F251" s="6" t="s">
        <v>224</v>
      </c>
      <c r="G251" s="6" t="s">
        <v>1572</v>
      </c>
      <c r="H251" s="9" t="s">
        <v>1336</v>
      </c>
      <c r="I251" s="9" t="s">
        <v>102</v>
      </c>
      <c r="J251" s="9" t="s">
        <v>1337</v>
      </c>
      <c r="K251" s="9"/>
      <c r="L251" s="9"/>
      <c r="M251" s="9"/>
      <c r="N251" s="12"/>
      <c r="O251" s="12" t="s">
        <v>236</v>
      </c>
      <c r="P251" s="6" t="s">
        <v>1330</v>
      </c>
    </row>
    <row r="252" spans="1:16" ht="25.5" x14ac:dyDescent="0.25">
      <c r="A252" s="6" t="s">
        <v>752</v>
      </c>
      <c r="B252" s="6" t="s">
        <v>1255</v>
      </c>
      <c r="C252" s="6" t="s">
        <v>1329</v>
      </c>
      <c r="D252" s="6">
        <v>128</v>
      </c>
      <c r="E252" s="6" t="s">
        <v>1271</v>
      </c>
      <c r="F252" s="6" t="s">
        <v>224</v>
      </c>
      <c r="G252" s="6" t="s">
        <v>1572</v>
      </c>
      <c r="H252" s="9" t="s">
        <v>1575</v>
      </c>
      <c r="I252" s="9" t="s">
        <v>1576</v>
      </c>
      <c r="J252" s="9" t="s">
        <v>1340</v>
      </c>
      <c r="K252" s="9"/>
      <c r="L252" s="9"/>
      <c r="M252" s="9"/>
      <c r="N252" s="12" t="s">
        <v>749</v>
      </c>
      <c r="O252" s="12" t="s">
        <v>1275</v>
      </c>
      <c r="P252" s="6" t="s">
        <v>1341</v>
      </c>
    </row>
    <row r="253" spans="1:16" ht="25.5" x14ac:dyDescent="0.25">
      <c r="A253" s="6" t="s">
        <v>754</v>
      </c>
      <c r="B253" s="6" t="s">
        <v>1255</v>
      </c>
      <c r="C253" s="6" t="s">
        <v>1329</v>
      </c>
      <c r="D253" s="6">
        <v>128</v>
      </c>
      <c r="E253" s="6" t="s">
        <v>1271</v>
      </c>
      <c r="F253" s="6" t="s">
        <v>224</v>
      </c>
      <c r="G253" s="6" t="s">
        <v>1572</v>
      </c>
      <c r="H253" s="9" t="s">
        <v>1565</v>
      </c>
      <c r="I253" s="9" t="s">
        <v>1566</v>
      </c>
      <c r="J253" s="9"/>
      <c r="K253" s="9" t="s">
        <v>1577</v>
      </c>
      <c r="L253" s="9" t="s">
        <v>65</v>
      </c>
      <c r="M253" s="9" t="s">
        <v>65</v>
      </c>
      <c r="N253" s="12" t="s">
        <v>753</v>
      </c>
      <c r="O253" s="12" t="s">
        <v>1275</v>
      </c>
      <c r="P253" s="6" t="s">
        <v>1341</v>
      </c>
    </row>
    <row r="254" spans="1:16" ht="25.5" x14ac:dyDescent="0.25">
      <c r="A254" s="6" t="s">
        <v>756</v>
      </c>
      <c r="B254" s="6" t="s">
        <v>1255</v>
      </c>
      <c r="C254" s="6" t="s">
        <v>1329</v>
      </c>
      <c r="D254" s="6">
        <v>129</v>
      </c>
      <c r="E254" s="6" t="s">
        <v>1271</v>
      </c>
      <c r="F254" s="6" t="s">
        <v>224</v>
      </c>
      <c r="G254" s="6" t="s">
        <v>1572</v>
      </c>
      <c r="H254" s="9" t="s">
        <v>1568</v>
      </c>
      <c r="I254" s="9" t="s">
        <v>1569</v>
      </c>
      <c r="J254" s="9"/>
      <c r="K254" s="9" t="s">
        <v>1577</v>
      </c>
      <c r="L254" s="9" t="s">
        <v>65</v>
      </c>
      <c r="M254" s="9" t="s">
        <v>65</v>
      </c>
      <c r="N254" s="12" t="s">
        <v>755</v>
      </c>
      <c r="O254" s="12" t="s">
        <v>1275</v>
      </c>
      <c r="P254" s="6" t="s">
        <v>1341</v>
      </c>
    </row>
    <row r="255" spans="1:16" x14ac:dyDescent="0.25">
      <c r="A255" s="7" t="s">
        <v>759</v>
      </c>
      <c r="B255" s="7" t="s">
        <v>1255</v>
      </c>
      <c r="C255" s="7" t="s">
        <v>1329</v>
      </c>
      <c r="D255" s="7">
        <v>130</v>
      </c>
      <c r="E255" s="7" t="s">
        <v>1271</v>
      </c>
      <c r="F255" s="7" t="s">
        <v>224</v>
      </c>
      <c r="G255" s="7" t="s">
        <v>1572</v>
      </c>
      <c r="H255" s="10" t="s">
        <v>1578</v>
      </c>
      <c r="I255" s="10" t="s">
        <v>1579</v>
      </c>
      <c r="J255" s="10" t="s">
        <v>1580</v>
      </c>
      <c r="K255" s="10"/>
      <c r="L255" s="10"/>
      <c r="M255" s="10"/>
      <c r="N255" s="13" t="s">
        <v>757</v>
      </c>
      <c r="O255" s="13" t="s">
        <v>1275</v>
      </c>
      <c r="P255" s="7" t="s">
        <v>1341</v>
      </c>
    </row>
  </sheetData>
  <mergeCells count="2">
    <mergeCell ref="A1:P1"/>
    <mergeCell ref="A2:P2"/>
  </mergeCells>
  <phoneticPr fontId="15" type="noConversion"/>
  <dataValidations count="2">
    <dataValidation type="list" sqref="E5:E255" xr:uid="{00000000-0002-0000-0600-000000000000}">
      <formula1>"字段,结构/说明"</formula1>
    </dataValidation>
    <dataValidation type="list" sqref="O5:O255" xr:uid="{00000000-0002-0000-0600-000001000000}">
      <formula1>"已映射,未映射,不适用"</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2"/>
  <sheetViews>
    <sheetView showGridLines="0" workbookViewId="0"/>
  </sheetViews>
  <sheetFormatPr defaultRowHeight="15" x14ac:dyDescent="0.25"/>
  <cols>
    <col min="1" max="1" width="25" customWidth="1"/>
    <col min="2" max="2" width="24" customWidth="1"/>
    <col min="3" max="3" width="22" customWidth="1"/>
    <col min="4" max="4" width="50" customWidth="1"/>
    <col min="5" max="6" width="48" customWidth="1"/>
    <col min="7" max="7" width="32" customWidth="1"/>
    <col min="8" max="8" width="26" customWidth="1"/>
    <col min="9" max="9" width="42" customWidth="1"/>
    <col min="10" max="10" width="44" customWidth="1"/>
    <col min="11" max="11" width="48" customWidth="1"/>
    <col min="12" max="12" width="42" customWidth="1"/>
  </cols>
  <sheetData>
    <row r="1" spans="1:12" ht="27.95" customHeight="1" x14ac:dyDescent="0.25">
      <c r="A1" s="90" t="s">
        <v>1699</v>
      </c>
      <c r="B1" s="90"/>
      <c r="C1" s="90"/>
      <c r="D1" s="90"/>
      <c r="E1" s="90"/>
      <c r="F1" s="90"/>
      <c r="G1" s="90"/>
      <c r="H1" s="90"/>
      <c r="I1" s="90"/>
      <c r="J1" s="90"/>
      <c r="K1" s="90"/>
      <c r="L1" s="90"/>
    </row>
    <row r="2" spans="1:12" ht="33.950000000000003" customHeight="1" x14ac:dyDescent="0.25">
      <c r="A2" s="91" t="s">
        <v>1700</v>
      </c>
      <c r="B2" s="91"/>
      <c r="C2" s="91"/>
      <c r="D2" s="91"/>
      <c r="E2" s="91"/>
      <c r="F2" s="91"/>
      <c r="G2" s="91"/>
      <c r="H2" s="91"/>
      <c r="I2" s="91"/>
      <c r="J2" s="91"/>
      <c r="K2" s="91"/>
      <c r="L2" s="91"/>
    </row>
    <row r="4" spans="1:12" ht="33.950000000000003" customHeight="1" x14ac:dyDescent="0.25">
      <c r="A4" s="27" t="s">
        <v>947</v>
      </c>
      <c r="B4" s="28" t="s">
        <v>1701</v>
      </c>
      <c r="C4" s="28" t="s">
        <v>1702</v>
      </c>
      <c r="D4" s="28" t="s">
        <v>1703</v>
      </c>
      <c r="E4" s="28" t="s">
        <v>1704</v>
      </c>
      <c r="F4" s="28" t="s">
        <v>1705</v>
      </c>
      <c r="G4" s="28" t="s">
        <v>1706</v>
      </c>
      <c r="H4" s="28" t="s">
        <v>1209</v>
      </c>
      <c r="I4" s="28" t="s">
        <v>1707</v>
      </c>
      <c r="J4" s="28" t="s">
        <v>1708</v>
      </c>
      <c r="K4" s="28" t="s">
        <v>1709</v>
      </c>
      <c r="L4" s="29" t="s">
        <v>61</v>
      </c>
    </row>
    <row r="5" spans="1:12" ht="72" customHeight="1" x14ac:dyDescent="0.25">
      <c r="A5" s="30" t="s">
        <v>1710</v>
      </c>
      <c r="B5" s="31" t="s">
        <v>1711</v>
      </c>
      <c r="C5" s="31" t="s">
        <v>483</v>
      </c>
      <c r="D5" s="32" t="s">
        <v>1712</v>
      </c>
      <c r="E5" s="32" t="s">
        <v>1713</v>
      </c>
      <c r="F5" s="32" t="s">
        <v>1714</v>
      </c>
      <c r="G5" s="33" t="s">
        <v>1715</v>
      </c>
      <c r="H5" s="33" t="s">
        <v>1716</v>
      </c>
      <c r="I5" s="34" t="s">
        <v>1717</v>
      </c>
      <c r="J5" s="34" t="s">
        <v>1718</v>
      </c>
      <c r="K5" s="34" t="s">
        <v>1719</v>
      </c>
      <c r="L5" s="35" t="s">
        <v>1720</v>
      </c>
    </row>
    <row r="6" spans="1:12" ht="72" customHeight="1" x14ac:dyDescent="0.25">
      <c r="A6" s="30" t="s">
        <v>1721</v>
      </c>
      <c r="B6" s="31" t="s">
        <v>1722</v>
      </c>
      <c r="C6" s="31" t="s">
        <v>64</v>
      </c>
      <c r="D6" s="32" t="s">
        <v>73</v>
      </c>
      <c r="E6" s="32" t="s">
        <v>1723</v>
      </c>
      <c r="F6" s="32" t="s">
        <v>1724</v>
      </c>
      <c r="G6" s="33" t="s">
        <v>1725</v>
      </c>
      <c r="H6" s="33" t="s">
        <v>1716</v>
      </c>
      <c r="I6" s="34" t="s">
        <v>1726</v>
      </c>
      <c r="J6" s="34" t="s">
        <v>1727</v>
      </c>
      <c r="K6" s="34" t="s">
        <v>1728</v>
      </c>
      <c r="L6" s="35" t="s">
        <v>1729</v>
      </c>
    </row>
    <row r="7" spans="1:12" ht="72" customHeight="1" x14ac:dyDescent="0.25">
      <c r="A7" s="30" t="s">
        <v>1730</v>
      </c>
      <c r="B7" s="31" t="s">
        <v>1731</v>
      </c>
      <c r="C7" s="31" t="s">
        <v>64</v>
      </c>
      <c r="D7" s="32" t="s">
        <v>115</v>
      </c>
      <c r="E7" s="32" t="s">
        <v>1732</v>
      </c>
      <c r="F7" s="32" t="s">
        <v>1733</v>
      </c>
      <c r="G7" s="33" t="s">
        <v>1734</v>
      </c>
      <c r="H7" s="33" t="s">
        <v>1716</v>
      </c>
      <c r="I7" s="34" t="s">
        <v>1735</v>
      </c>
      <c r="J7" s="34" t="s">
        <v>1736</v>
      </c>
      <c r="K7" s="34" t="s">
        <v>1737</v>
      </c>
      <c r="L7" s="35" t="s">
        <v>1738</v>
      </c>
    </row>
    <row r="8" spans="1:12" ht="72" customHeight="1" x14ac:dyDescent="0.25">
      <c r="A8" s="30" t="s">
        <v>1739</v>
      </c>
      <c r="B8" s="31" t="s">
        <v>1740</v>
      </c>
      <c r="C8" s="31" t="s">
        <v>483</v>
      </c>
      <c r="D8" s="32" t="s">
        <v>136</v>
      </c>
      <c r="E8" s="32" t="s">
        <v>1741</v>
      </c>
      <c r="F8" s="32" t="s">
        <v>1742</v>
      </c>
      <c r="G8" s="33" t="s">
        <v>1743</v>
      </c>
      <c r="H8" s="33" t="s">
        <v>1716</v>
      </c>
      <c r="I8" s="34" t="s">
        <v>1744</v>
      </c>
      <c r="J8" s="34" t="s">
        <v>1745</v>
      </c>
      <c r="K8" s="34" t="s">
        <v>1746</v>
      </c>
      <c r="L8" s="35" t="s">
        <v>1747</v>
      </c>
    </row>
    <row r="9" spans="1:12" ht="72" customHeight="1" x14ac:dyDescent="0.25">
      <c r="A9" s="30" t="s">
        <v>1748</v>
      </c>
      <c r="B9" s="31" t="s">
        <v>1749</v>
      </c>
      <c r="C9" s="31" t="s">
        <v>483</v>
      </c>
      <c r="D9" s="32" t="s">
        <v>1750</v>
      </c>
      <c r="E9" s="32" t="s">
        <v>1751</v>
      </c>
      <c r="F9" s="32" t="s">
        <v>1752</v>
      </c>
      <c r="G9" s="33" t="s">
        <v>1753</v>
      </c>
      <c r="H9" s="33" t="s">
        <v>1716</v>
      </c>
      <c r="I9" s="34" t="s">
        <v>1754</v>
      </c>
      <c r="J9" s="34" t="s">
        <v>1755</v>
      </c>
      <c r="K9" s="34" t="s">
        <v>1756</v>
      </c>
      <c r="L9" s="35" t="s">
        <v>1757</v>
      </c>
    </row>
    <row r="10" spans="1:12" ht="72" customHeight="1" x14ac:dyDescent="0.25">
      <c r="A10" s="30" t="s">
        <v>1758</v>
      </c>
      <c r="B10" s="31" t="s">
        <v>1759</v>
      </c>
      <c r="C10" s="31" t="s">
        <v>1760</v>
      </c>
      <c r="D10" s="32"/>
      <c r="E10" s="32"/>
      <c r="F10" s="32"/>
      <c r="G10" s="33" t="s">
        <v>1761</v>
      </c>
      <c r="H10" s="33" t="s">
        <v>1762</v>
      </c>
      <c r="I10" s="34" t="s">
        <v>1763</v>
      </c>
      <c r="J10" s="34" t="s">
        <v>1764</v>
      </c>
      <c r="K10" s="34" t="s">
        <v>1765</v>
      </c>
      <c r="L10" s="35" t="s">
        <v>1766</v>
      </c>
    </row>
    <row r="11" spans="1:12" ht="72" customHeight="1" x14ac:dyDescent="0.25">
      <c r="A11" s="30" t="s">
        <v>1767</v>
      </c>
      <c r="B11" s="31" t="s">
        <v>1768</v>
      </c>
      <c r="C11" s="31" t="s">
        <v>1769</v>
      </c>
      <c r="D11" s="32"/>
      <c r="E11" s="32"/>
      <c r="F11" s="32"/>
      <c r="G11" s="33" t="s">
        <v>1770</v>
      </c>
      <c r="H11" s="33" t="s">
        <v>1771</v>
      </c>
      <c r="I11" s="34" t="s">
        <v>1772</v>
      </c>
      <c r="J11" s="34" t="s">
        <v>1773</v>
      </c>
      <c r="K11" s="34" t="s">
        <v>1774</v>
      </c>
      <c r="L11" s="35" t="s">
        <v>1775</v>
      </c>
    </row>
    <row r="12" spans="1:12" ht="72" customHeight="1" x14ac:dyDescent="0.25">
      <c r="A12" s="30" t="s">
        <v>1776</v>
      </c>
      <c r="B12" s="31" t="s">
        <v>1777</v>
      </c>
      <c r="C12" s="31" t="s">
        <v>1778</v>
      </c>
      <c r="D12" s="32"/>
      <c r="E12" s="32"/>
      <c r="F12" s="32"/>
      <c r="G12" s="33" t="s">
        <v>1779</v>
      </c>
      <c r="H12" s="33" t="s">
        <v>1780</v>
      </c>
      <c r="I12" s="34" t="s">
        <v>1781</v>
      </c>
      <c r="J12" s="34" t="s">
        <v>1782</v>
      </c>
      <c r="K12" s="34" t="s">
        <v>1783</v>
      </c>
      <c r="L12" s="35" t="s">
        <v>1784</v>
      </c>
    </row>
    <row r="13" spans="1:12" ht="72" customHeight="1" x14ac:dyDescent="0.25">
      <c r="A13" s="30" t="s">
        <v>1785</v>
      </c>
      <c r="B13" s="31" t="s">
        <v>1786</v>
      </c>
      <c r="C13" s="31" t="s">
        <v>1787</v>
      </c>
      <c r="D13" s="32" t="s">
        <v>1788</v>
      </c>
      <c r="E13" s="32" t="s">
        <v>1788</v>
      </c>
      <c r="F13" s="32" t="s">
        <v>1788</v>
      </c>
      <c r="G13" s="33" t="s">
        <v>1789</v>
      </c>
      <c r="H13" s="33" t="s">
        <v>1790</v>
      </c>
      <c r="I13" s="34" t="s">
        <v>1791</v>
      </c>
      <c r="J13" s="34" t="s">
        <v>1792</v>
      </c>
      <c r="K13" s="34" t="s">
        <v>1793</v>
      </c>
      <c r="L13" s="35" t="s">
        <v>1794</v>
      </c>
    </row>
    <row r="14" spans="1:12" ht="72" customHeight="1" x14ac:dyDescent="0.25">
      <c r="A14" s="36" t="s">
        <v>1795</v>
      </c>
      <c r="B14" s="37" t="s">
        <v>1796</v>
      </c>
      <c r="C14" s="37" t="s">
        <v>1787</v>
      </c>
      <c r="D14" s="38" t="s">
        <v>1797</v>
      </c>
      <c r="E14" s="38" t="s">
        <v>1798</v>
      </c>
      <c r="F14" s="38" t="s">
        <v>1799</v>
      </c>
      <c r="G14" s="39" t="s">
        <v>1800</v>
      </c>
      <c r="H14" s="39" t="s">
        <v>1801</v>
      </c>
      <c r="I14" s="40" t="s">
        <v>1802</v>
      </c>
      <c r="J14" s="40" t="s">
        <v>1803</v>
      </c>
      <c r="K14" s="40" t="s">
        <v>1804</v>
      </c>
      <c r="L14" s="41" t="s">
        <v>1805</v>
      </c>
    </row>
    <row r="15" spans="1:12" ht="75.95" customHeight="1" x14ac:dyDescent="0.25">
      <c r="A15" s="49" t="s">
        <v>1806</v>
      </c>
      <c r="B15" s="49" t="s">
        <v>1807</v>
      </c>
      <c r="C15" s="49" t="s">
        <v>1787</v>
      </c>
      <c r="D15" s="50" t="s">
        <v>1788</v>
      </c>
      <c r="E15" s="50" t="s">
        <v>1788</v>
      </c>
      <c r="F15" s="50" t="s">
        <v>1788</v>
      </c>
      <c r="G15" s="51" t="s">
        <v>1808</v>
      </c>
      <c r="H15" s="51" t="s">
        <v>1809</v>
      </c>
      <c r="I15" s="52" t="s">
        <v>1810</v>
      </c>
      <c r="J15" s="52" t="s">
        <v>1811</v>
      </c>
      <c r="K15" s="52" t="s">
        <v>1812</v>
      </c>
      <c r="L15" s="52" t="s">
        <v>1813</v>
      </c>
    </row>
    <row r="16" spans="1:12" ht="75.95" customHeight="1" x14ac:dyDescent="0.25">
      <c r="A16" s="49" t="s">
        <v>1814</v>
      </c>
      <c r="B16" s="49" t="s">
        <v>1815</v>
      </c>
      <c r="C16" s="49" t="s">
        <v>483</v>
      </c>
      <c r="D16" s="50" t="s">
        <v>1816</v>
      </c>
      <c r="E16" s="50" t="s">
        <v>1817</v>
      </c>
      <c r="F16" s="50" t="s">
        <v>1818</v>
      </c>
      <c r="G16" s="51" t="s">
        <v>1819</v>
      </c>
      <c r="H16" s="51" t="s">
        <v>1820</v>
      </c>
      <c r="I16" s="52" t="s">
        <v>1821</v>
      </c>
      <c r="J16" s="52" t="s">
        <v>1822</v>
      </c>
      <c r="K16" s="52" t="s">
        <v>1823</v>
      </c>
      <c r="L16" s="52" t="s">
        <v>1824</v>
      </c>
    </row>
    <row r="17" spans="1:12" ht="75.95" customHeight="1" x14ac:dyDescent="0.25">
      <c r="A17" s="49" t="s">
        <v>1825</v>
      </c>
      <c r="B17" s="49" t="s">
        <v>1826</v>
      </c>
      <c r="C17" s="49" t="s">
        <v>1827</v>
      </c>
      <c r="D17" s="50" t="s">
        <v>1828</v>
      </c>
      <c r="E17" s="50" t="s">
        <v>1829</v>
      </c>
      <c r="F17" s="50" t="s">
        <v>1830</v>
      </c>
      <c r="G17" s="51" t="s">
        <v>1831</v>
      </c>
      <c r="H17" s="51" t="s">
        <v>1832</v>
      </c>
      <c r="I17" s="52" t="s">
        <v>1833</v>
      </c>
      <c r="J17" s="52" t="s">
        <v>1834</v>
      </c>
      <c r="K17" s="52" t="s">
        <v>1835</v>
      </c>
      <c r="L17" s="52" t="s">
        <v>1836</v>
      </c>
    </row>
    <row r="18" spans="1:12" ht="75.95" customHeight="1" x14ac:dyDescent="0.25">
      <c r="A18" s="49" t="s">
        <v>1837</v>
      </c>
      <c r="B18" s="49" t="s">
        <v>1838</v>
      </c>
      <c r="C18" s="49" t="s">
        <v>1839</v>
      </c>
      <c r="D18" s="50" t="s">
        <v>1840</v>
      </c>
      <c r="E18" s="50" t="s">
        <v>1841</v>
      </c>
      <c r="F18" s="50" t="s">
        <v>1842</v>
      </c>
      <c r="G18" s="51" t="s">
        <v>1843</v>
      </c>
      <c r="H18" s="51" t="s">
        <v>1820</v>
      </c>
      <c r="I18" s="52" t="s">
        <v>1844</v>
      </c>
      <c r="J18" s="52" t="s">
        <v>1845</v>
      </c>
      <c r="K18" s="52" t="s">
        <v>1846</v>
      </c>
      <c r="L18" s="52" t="s">
        <v>1847</v>
      </c>
    </row>
    <row r="19" spans="1:12" ht="75.95" customHeight="1" x14ac:dyDescent="0.25">
      <c r="A19" s="49" t="s">
        <v>1848</v>
      </c>
      <c r="B19" s="49" t="s">
        <v>1849</v>
      </c>
      <c r="C19" s="49" t="s">
        <v>1850</v>
      </c>
      <c r="D19" s="50" t="s">
        <v>1851</v>
      </c>
      <c r="E19" s="50" t="s">
        <v>1852</v>
      </c>
      <c r="F19" s="50" t="s">
        <v>1853</v>
      </c>
      <c r="G19" s="51" t="s">
        <v>1854</v>
      </c>
      <c r="H19" s="51" t="s">
        <v>1855</v>
      </c>
      <c r="I19" s="52" t="s">
        <v>1856</v>
      </c>
      <c r="J19" s="52" t="s">
        <v>1857</v>
      </c>
      <c r="K19" s="52" t="s">
        <v>1858</v>
      </c>
      <c r="L19" s="52" t="s">
        <v>1859</v>
      </c>
    </row>
    <row r="20" spans="1:12" ht="75.95" customHeight="1" x14ac:dyDescent="0.25">
      <c r="A20" s="49" t="s">
        <v>1860</v>
      </c>
      <c r="B20" s="49" t="s">
        <v>1861</v>
      </c>
      <c r="C20" s="49" t="s">
        <v>1827</v>
      </c>
      <c r="D20" s="50" t="s">
        <v>1862</v>
      </c>
      <c r="E20" s="50" t="s">
        <v>1863</v>
      </c>
      <c r="F20" s="50" t="s">
        <v>1864</v>
      </c>
      <c r="G20" s="51" t="s">
        <v>1865</v>
      </c>
      <c r="H20" s="51" t="s">
        <v>1866</v>
      </c>
      <c r="I20" s="52" t="s">
        <v>1867</v>
      </c>
      <c r="J20" s="52" t="s">
        <v>1868</v>
      </c>
      <c r="K20" s="52" t="s">
        <v>1869</v>
      </c>
      <c r="L20" s="52" t="s">
        <v>1870</v>
      </c>
    </row>
    <row r="21" spans="1:12" ht="75.95" customHeight="1" x14ac:dyDescent="0.25">
      <c r="A21" s="49" t="s">
        <v>1871</v>
      </c>
      <c r="B21" s="49" t="s">
        <v>1872</v>
      </c>
      <c r="C21" s="49" t="s">
        <v>1873</v>
      </c>
      <c r="D21" s="50" t="s">
        <v>1874</v>
      </c>
      <c r="E21" s="50" t="s">
        <v>1875</v>
      </c>
      <c r="F21" s="50" t="s">
        <v>1876</v>
      </c>
      <c r="G21" s="51" t="s">
        <v>1877</v>
      </c>
      <c r="H21" s="51" t="s">
        <v>1878</v>
      </c>
      <c r="I21" s="52" t="s">
        <v>1879</v>
      </c>
      <c r="J21" s="52" t="s">
        <v>1880</v>
      </c>
      <c r="K21" s="52" t="s">
        <v>1881</v>
      </c>
      <c r="L21" s="52" t="s">
        <v>1882</v>
      </c>
    </row>
    <row r="22" spans="1:12" ht="75.95" customHeight="1" x14ac:dyDescent="0.25">
      <c r="A22" s="49" t="s">
        <v>1883</v>
      </c>
      <c r="B22" s="49" t="s">
        <v>1884</v>
      </c>
      <c r="C22" s="49" t="s">
        <v>1787</v>
      </c>
      <c r="D22" s="50" t="s">
        <v>1788</v>
      </c>
      <c r="E22" s="50" t="s">
        <v>1788</v>
      </c>
      <c r="F22" s="50" t="s">
        <v>1885</v>
      </c>
      <c r="G22" s="51" t="s">
        <v>1886</v>
      </c>
      <c r="H22" s="51" t="s">
        <v>1887</v>
      </c>
      <c r="I22" s="52" t="s">
        <v>1888</v>
      </c>
      <c r="J22" s="52" t="s">
        <v>1889</v>
      </c>
      <c r="K22" s="52" t="s">
        <v>1890</v>
      </c>
      <c r="L22" s="52" t="s">
        <v>1891</v>
      </c>
    </row>
  </sheetData>
  <mergeCells count="2">
    <mergeCell ref="A1:L1"/>
    <mergeCell ref="A2:L2"/>
  </mergeCells>
  <phoneticPr fontId="1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5"/>
  <sheetViews>
    <sheetView showGridLines="0" workbookViewId="0"/>
  </sheetViews>
  <sheetFormatPr defaultRowHeight="15" x14ac:dyDescent="0.25"/>
  <cols>
    <col min="1" max="1" width="32" customWidth="1"/>
    <col min="2" max="2" width="12" customWidth="1"/>
    <col min="3" max="3" width="25" customWidth="1"/>
    <col min="4" max="5" width="28" customWidth="1"/>
    <col min="6" max="6" width="48" customWidth="1"/>
    <col min="7" max="7" width="46" customWidth="1"/>
    <col min="8" max="8" width="36" customWidth="1"/>
    <col min="9" max="9" width="34" customWidth="1"/>
    <col min="10" max="11" width="40" customWidth="1"/>
    <col min="12" max="12" width="28" customWidth="1"/>
    <col min="13" max="13" width="46" customWidth="1"/>
    <col min="14" max="14" width="34" customWidth="1"/>
    <col min="15" max="15" width="46" customWidth="1"/>
  </cols>
  <sheetData>
    <row r="1" spans="1:15" ht="27.95" customHeight="1" x14ac:dyDescent="0.25">
      <c r="A1" s="90" t="s">
        <v>1892</v>
      </c>
      <c r="B1" s="90"/>
      <c r="C1" s="90"/>
      <c r="D1" s="90"/>
      <c r="E1" s="90"/>
      <c r="F1" s="90"/>
      <c r="G1" s="90"/>
      <c r="H1" s="90"/>
      <c r="I1" s="90"/>
      <c r="J1" s="90"/>
      <c r="K1" s="90"/>
      <c r="L1" s="90"/>
      <c r="M1" s="90"/>
      <c r="N1" s="90"/>
      <c r="O1" s="90"/>
    </row>
    <row r="2" spans="1:15" ht="33.950000000000003" customHeight="1" x14ac:dyDescent="0.25">
      <c r="A2" s="91" t="s">
        <v>1893</v>
      </c>
      <c r="B2" s="91"/>
      <c r="C2" s="91"/>
      <c r="D2" s="91"/>
      <c r="E2" s="91"/>
      <c r="F2" s="91"/>
      <c r="G2" s="91"/>
      <c r="H2" s="91"/>
      <c r="I2" s="91"/>
      <c r="J2" s="91"/>
      <c r="K2" s="91"/>
      <c r="L2" s="91"/>
      <c r="M2" s="91"/>
      <c r="N2" s="91"/>
      <c r="O2" s="91"/>
    </row>
    <row r="4" spans="1:15" ht="33.950000000000003" customHeight="1" x14ac:dyDescent="0.25">
      <c r="A4" s="42" t="s">
        <v>1101</v>
      </c>
      <c r="B4" s="43" t="s">
        <v>1025</v>
      </c>
      <c r="C4" s="43" t="s">
        <v>1894</v>
      </c>
      <c r="D4" s="43" t="s">
        <v>1895</v>
      </c>
      <c r="E4" s="43" t="s">
        <v>1896</v>
      </c>
      <c r="F4" s="43" t="s">
        <v>1897</v>
      </c>
      <c r="G4" s="43" t="s">
        <v>1898</v>
      </c>
      <c r="H4" s="43" t="s">
        <v>1899</v>
      </c>
      <c r="I4" s="43" t="s">
        <v>1900</v>
      </c>
      <c r="J4" s="43" t="s">
        <v>1901</v>
      </c>
      <c r="K4" s="43" t="s">
        <v>1902</v>
      </c>
      <c r="L4" s="43" t="s">
        <v>1209</v>
      </c>
      <c r="M4" s="43" t="s">
        <v>1903</v>
      </c>
      <c r="N4" s="43" t="s">
        <v>60</v>
      </c>
      <c r="O4" s="44" t="s">
        <v>61</v>
      </c>
    </row>
    <row r="5" spans="1:15" ht="60" customHeight="1" x14ac:dyDescent="0.25">
      <c r="A5" s="30" t="s">
        <v>1685</v>
      </c>
      <c r="B5" s="31" t="s">
        <v>798</v>
      </c>
      <c r="C5" s="31" t="s">
        <v>1688</v>
      </c>
      <c r="D5" s="31" t="s">
        <v>1904</v>
      </c>
      <c r="E5" s="33" t="s">
        <v>1905</v>
      </c>
      <c r="F5" s="33" t="s">
        <v>1906</v>
      </c>
      <c r="G5" s="33" t="s">
        <v>1907</v>
      </c>
      <c r="H5" s="33" t="s">
        <v>236</v>
      </c>
      <c r="I5" s="32" t="s">
        <v>1908</v>
      </c>
      <c r="J5" s="32" t="s">
        <v>1851</v>
      </c>
      <c r="K5" s="32" t="s">
        <v>1909</v>
      </c>
      <c r="L5" s="32" t="s">
        <v>1910</v>
      </c>
      <c r="M5" s="32" t="s">
        <v>1911</v>
      </c>
      <c r="N5" s="32" t="s">
        <v>1912</v>
      </c>
      <c r="O5" s="45" t="s">
        <v>1913</v>
      </c>
    </row>
    <row r="6" spans="1:15" ht="60" customHeight="1" x14ac:dyDescent="0.25">
      <c r="A6" s="36" t="s">
        <v>1693</v>
      </c>
      <c r="B6" s="37" t="s">
        <v>799</v>
      </c>
      <c r="C6" s="37" t="s">
        <v>1688</v>
      </c>
      <c r="D6" s="37" t="s">
        <v>1914</v>
      </c>
      <c r="E6" s="39">
        <v>1</v>
      </c>
      <c r="F6" s="39" t="s">
        <v>1906</v>
      </c>
      <c r="G6" s="39" t="s">
        <v>236</v>
      </c>
      <c r="H6" s="39" t="s">
        <v>1915</v>
      </c>
      <c r="I6" s="38" t="s">
        <v>1916</v>
      </c>
      <c r="J6" s="38" t="s">
        <v>1851</v>
      </c>
      <c r="K6" s="38" t="s">
        <v>1917</v>
      </c>
      <c r="L6" s="38" t="s">
        <v>1918</v>
      </c>
      <c r="M6" s="38" t="s">
        <v>1919</v>
      </c>
      <c r="N6" s="38" t="s">
        <v>1920</v>
      </c>
      <c r="O6" s="46" t="s">
        <v>1921</v>
      </c>
    </row>
    <row r="9" spans="1:15" ht="15.75" x14ac:dyDescent="0.25">
      <c r="A9" s="92" t="s">
        <v>1922</v>
      </c>
      <c r="B9" s="93" t="s">
        <v>1922</v>
      </c>
      <c r="C9" s="93" t="s">
        <v>1922</v>
      </c>
      <c r="D9" s="93" t="s">
        <v>1922</v>
      </c>
      <c r="E9" s="93" t="s">
        <v>1922</v>
      </c>
      <c r="F9" s="93" t="s">
        <v>1922</v>
      </c>
      <c r="G9" s="93" t="s">
        <v>1922</v>
      </c>
      <c r="H9" s="93" t="s">
        <v>1922</v>
      </c>
      <c r="I9" s="93" t="s">
        <v>1922</v>
      </c>
      <c r="J9" s="93" t="s">
        <v>1922</v>
      </c>
      <c r="K9" s="93" t="s">
        <v>1922</v>
      </c>
      <c r="L9" s="93" t="s">
        <v>1922</v>
      </c>
      <c r="M9" s="93" t="s">
        <v>1922</v>
      </c>
      <c r="N9" s="93" t="s">
        <v>1922</v>
      </c>
      <c r="O9" s="94" t="s">
        <v>1922</v>
      </c>
    </row>
    <row r="10" spans="1:15" ht="33.950000000000003" customHeight="1" x14ac:dyDescent="0.25">
      <c r="A10" s="47" t="s">
        <v>1923</v>
      </c>
      <c r="B10" s="26" t="s">
        <v>1924</v>
      </c>
      <c r="C10" s="26" t="s">
        <v>1925</v>
      </c>
      <c r="D10" s="26" t="s">
        <v>44</v>
      </c>
      <c r="E10" s="26" t="s">
        <v>45</v>
      </c>
      <c r="F10" s="26" t="s">
        <v>1926</v>
      </c>
      <c r="G10" s="26" t="s">
        <v>1927</v>
      </c>
      <c r="H10" s="26" t="s">
        <v>1928</v>
      </c>
      <c r="I10" s="26" t="s">
        <v>1901</v>
      </c>
      <c r="J10" s="26" t="s">
        <v>1929</v>
      </c>
      <c r="K10" s="26" t="s">
        <v>1930</v>
      </c>
      <c r="L10" s="26" t="s">
        <v>1706</v>
      </c>
      <c r="M10" s="26" t="s">
        <v>1209</v>
      </c>
      <c r="N10" s="26" t="s">
        <v>1931</v>
      </c>
      <c r="O10" s="48" t="s">
        <v>61</v>
      </c>
    </row>
    <row r="11" spans="1:15" ht="66" customHeight="1" x14ac:dyDescent="0.25">
      <c r="A11" s="53" t="s">
        <v>1932</v>
      </c>
      <c r="B11" s="54" t="s">
        <v>1933</v>
      </c>
      <c r="C11" s="54" t="s">
        <v>1934</v>
      </c>
      <c r="D11" s="54" t="s">
        <v>1935</v>
      </c>
      <c r="E11" s="57" t="s">
        <v>1936</v>
      </c>
      <c r="F11" s="57" t="s">
        <v>1937</v>
      </c>
      <c r="G11" s="57" t="s">
        <v>1938</v>
      </c>
      <c r="H11" s="57" t="s">
        <v>1939</v>
      </c>
      <c r="I11" s="59" t="s">
        <v>1851</v>
      </c>
      <c r="J11" s="59" t="s">
        <v>1940</v>
      </c>
      <c r="K11" s="59" t="s">
        <v>1941</v>
      </c>
      <c r="L11" s="59" t="s">
        <v>1942</v>
      </c>
      <c r="M11" s="59" t="s">
        <v>1943</v>
      </c>
      <c r="N11" s="59" t="s">
        <v>1944</v>
      </c>
      <c r="O11" s="60" t="s">
        <v>1945</v>
      </c>
    </row>
    <row r="12" spans="1:15" ht="66" customHeight="1" x14ac:dyDescent="0.25">
      <c r="A12" s="55" t="s">
        <v>1946</v>
      </c>
      <c r="B12" s="56" t="s">
        <v>1947</v>
      </c>
      <c r="C12" s="56" t="s">
        <v>1934</v>
      </c>
      <c r="D12" s="56" t="s">
        <v>1935</v>
      </c>
      <c r="E12" s="58" t="s">
        <v>1936</v>
      </c>
      <c r="F12" s="58" t="s">
        <v>1937</v>
      </c>
      <c r="G12" s="58" t="s">
        <v>1938</v>
      </c>
      <c r="H12" s="58" t="s">
        <v>1939</v>
      </c>
      <c r="I12" s="61" t="s">
        <v>1851</v>
      </c>
      <c r="J12" s="61" t="s">
        <v>1948</v>
      </c>
      <c r="K12" s="61" t="s">
        <v>1941</v>
      </c>
      <c r="L12" s="61" t="s">
        <v>1949</v>
      </c>
      <c r="M12" s="61" t="s">
        <v>1943</v>
      </c>
      <c r="N12" s="61" t="s">
        <v>1944</v>
      </c>
      <c r="O12" s="62" t="s">
        <v>1945</v>
      </c>
    </row>
    <row r="13" spans="1:15" ht="66" customHeight="1" x14ac:dyDescent="0.25">
      <c r="A13" s="49" t="s">
        <v>1950</v>
      </c>
      <c r="B13" s="49" t="s">
        <v>1951</v>
      </c>
      <c r="C13" s="49" t="s">
        <v>1934</v>
      </c>
      <c r="D13" s="49" t="s">
        <v>1935</v>
      </c>
      <c r="E13" s="51" t="s">
        <v>1936</v>
      </c>
      <c r="F13" s="51" t="s">
        <v>1937</v>
      </c>
      <c r="G13" s="51" t="s">
        <v>1938</v>
      </c>
      <c r="H13" s="51" t="s">
        <v>1939</v>
      </c>
      <c r="I13" s="50" t="s">
        <v>1851</v>
      </c>
      <c r="J13" s="50" t="s">
        <v>1952</v>
      </c>
      <c r="K13" s="50" t="s">
        <v>1941</v>
      </c>
      <c r="L13" s="50" t="s">
        <v>1953</v>
      </c>
      <c r="M13" s="50" t="s">
        <v>1943</v>
      </c>
      <c r="N13" s="50" t="s">
        <v>1944</v>
      </c>
      <c r="O13" s="50" t="s">
        <v>1945</v>
      </c>
    </row>
    <row r="14" spans="1:15" ht="66" customHeight="1" x14ac:dyDescent="0.25">
      <c r="A14" s="49" t="s">
        <v>1954</v>
      </c>
      <c r="B14" s="49" t="s">
        <v>1955</v>
      </c>
      <c r="C14" s="49" t="s">
        <v>1934</v>
      </c>
      <c r="D14" s="49" t="s">
        <v>1935</v>
      </c>
      <c r="E14" s="51" t="s">
        <v>1936</v>
      </c>
      <c r="F14" s="51" t="s">
        <v>1937</v>
      </c>
      <c r="G14" s="51" t="s">
        <v>1938</v>
      </c>
      <c r="H14" s="51" t="s">
        <v>1939</v>
      </c>
      <c r="I14" s="50" t="s">
        <v>1851</v>
      </c>
      <c r="J14" s="50" t="s">
        <v>1956</v>
      </c>
      <c r="K14" s="50" t="s">
        <v>1941</v>
      </c>
      <c r="L14" s="50" t="s">
        <v>1957</v>
      </c>
      <c r="M14" s="50" t="s">
        <v>1943</v>
      </c>
      <c r="N14" s="50" t="s">
        <v>1944</v>
      </c>
      <c r="O14" s="50" t="s">
        <v>1945</v>
      </c>
    </row>
    <row r="15" spans="1:15" ht="66" customHeight="1" x14ac:dyDescent="0.25">
      <c r="A15" s="49" t="s">
        <v>1958</v>
      </c>
      <c r="B15" s="49" t="s">
        <v>1959</v>
      </c>
      <c r="C15" s="49" t="s">
        <v>1934</v>
      </c>
      <c r="D15" s="49" t="s">
        <v>1935</v>
      </c>
      <c r="E15" s="51" t="s">
        <v>1936</v>
      </c>
      <c r="F15" s="51" t="s">
        <v>1937</v>
      </c>
      <c r="G15" s="51" t="s">
        <v>1938</v>
      </c>
      <c r="H15" s="51" t="s">
        <v>1939</v>
      </c>
      <c r="I15" s="50" t="s">
        <v>1851</v>
      </c>
      <c r="J15" s="50" t="s">
        <v>1960</v>
      </c>
      <c r="K15" s="50" t="s">
        <v>1941</v>
      </c>
      <c r="L15" s="50" t="s">
        <v>1961</v>
      </c>
      <c r="M15" s="50" t="s">
        <v>1943</v>
      </c>
      <c r="N15" s="50" t="s">
        <v>1944</v>
      </c>
      <c r="O15" s="50" t="s">
        <v>1945</v>
      </c>
    </row>
    <row r="16" spans="1:15" ht="66" customHeight="1" x14ac:dyDescent="0.25">
      <c r="A16" s="49" t="s">
        <v>1962</v>
      </c>
      <c r="B16" s="49" t="s">
        <v>1963</v>
      </c>
      <c r="C16" s="49" t="s">
        <v>1934</v>
      </c>
      <c r="D16" s="49" t="s">
        <v>1935</v>
      </c>
      <c r="E16" s="51" t="s">
        <v>1936</v>
      </c>
      <c r="F16" s="51" t="s">
        <v>1937</v>
      </c>
      <c r="G16" s="51" t="s">
        <v>1938</v>
      </c>
      <c r="H16" s="51" t="s">
        <v>1939</v>
      </c>
      <c r="I16" s="50" t="s">
        <v>1851</v>
      </c>
      <c r="J16" s="50" t="s">
        <v>1964</v>
      </c>
      <c r="K16" s="50" t="s">
        <v>1941</v>
      </c>
      <c r="L16" s="50" t="s">
        <v>1965</v>
      </c>
      <c r="M16" s="50" t="s">
        <v>1943</v>
      </c>
      <c r="N16" s="50" t="s">
        <v>1944</v>
      </c>
      <c r="O16" s="50" t="s">
        <v>1945</v>
      </c>
    </row>
    <row r="17" spans="1:15" ht="66" customHeight="1" x14ac:dyDescent="0.25">
      <c r="A17" s="49" t="s">
        <v>1966</v>
      </c>
      <c r="B17" s="49" t="s">
        <v>1967</v>
      </c>
      <c r="C17" s="49" t="s">
        <v>1934</v>
      </c>
      <c r="D17" s="49" t="s">
        <v>1935</v>
      </c>
      <c r="E17" s="51" t="s">
        <v>1936</v>
      </c>
      <c r="F17" s="51" t="s">
        <v>1937</v>
      </c>
      <c r="G17" s="51" t="s">
        <v>1938</v>
      </c>
      <c r="H17" s="51" t="s">
        <v>1939</v>
      </c>
      <c r="I17" s="50" t="s">
        <v>1851</v>
      </c>
      <c r="J17" s="50" t="s">
        <v>1968</v>
      </c>
      <c r="K17" s="50" t="s">
        <v>1941</v>
      </c>
      <c r="L17" s="50" t="s">
        <v>1969</v>
      </c>
      <c r="M17" s="50" t="s">
        <v>1943</v>
      </c>
      <c r="N17" s="50" t="s">
        <v>1944</v>
      </c>
      <c r="O17" s="50" t="s">
        <v>1945</v>
      </c>
    </row>
    <row r="18" spans="1:15" ht="66" customHeight="1" x14ac:dyDescent="0.25">
      <c r="A18" s="49" t="s">
        <v>1970</v>
      </c>
      <c r="B18" s="49" t="s">
        <v>1971</v>
      </c>
      <c r="C18" s="49" t="s">
        <v>1934</v>
      </c>
      <c r="D18" s="49" t="s">
        <v>1935</v>
      </c>
      <c r="E18" s="51" t="s">
        <v>1936</v>
      </c>
      <c r="F18" s="51" t="s">
        <v>1937</v>
      </c>
      <c r="G18" s="51" t="s">
        <v>1938</v>
      </c>
      <c r="H18" s="51" t="s">
        <v>1939</v>
      </c>
      <c r="I18" s="50" t="s">
        <v>1851</v>
      </c>
      <c r="J18" s="50" t="s">
        <v>1972</v>
      </c>
      <c r="K18" s="50" t="s">
        <v>1941</v>
      </c>
      <c r="L18" s="50" t="s">
        <v>1973</v>
      </c>
      <c r="M18" s="50" t="s">
        <v>1943</v>
      </c>
      <c r="N18" s="50" t="s">
        <v>1944</v>
      </c>
      <c r="O18" s="50" t="s">
        <v>1945</v>
      </c>
    </row>
    <row r="19" spans="1:15" ht="66" customHeight="1" x14ac:dyDescent="0.25">
      <c r="A19" s="49" t="s">
        <v>1974</v>
      </c>
      <c r="B19" s="49" t="s">
        <v>1975</v>
      </c>
      <c r="C19" s="49" t="s">
        <v>1934</v>
      </c>
      <c r="D19" s="49" t="s">
        <v>1935</v>
      </c>
      <c r="E19" s="51" t="s">
        <v>1936</v>
      </c>
      <c r="F19" s="51" t="s">
        <v>1937</v>
      </c>
      <c r="G19" s="51" t="s">
        <v>1938</v>
      </c>
      <c r="H19" s="51" t="s">
        <v>1939</v>
      </c>
      <c r="I19" s="50" t="s">
        <v>1851</v>
      </c>
      <c r="J19" s="50" t="s">
        <v>1976</v>
      </c>
      <c r="K19" s="50" t="s">
        <v>1941</v>
      </c>
      <c r="L19" s="50" t="s">
        <v>1977</v>
      </c>
      <c r="M19" s="50" t="s">
        <v>1943</v>
      </c>
      <c r="N19" s="50" t="s">
        <v>1944</v>
      </c>
      <c r="O19" s="50" t="s">
        <v>1945</v>
      </c>
    </row>
    <row r="20" spans="1:15" ht="66" customHeight="1" x14ac:dyDescent="0.25">
      <c r="A20" s="49" t="s">
        <v>1978</v>
      </c>
      <c r="B20" s="49" t="s">
        <v>1979</v>
      </c>
      <c r="C20" s="49" t="s">
        <v>1934</v>
      </c>
      <c r="D20" s="49" t="s">
        <v>1935</v>
      </c>
      <c r="E20" s="51" t="s">
        <v>1936</v>
      </c>
      <c r="F20" s="51" t="s">
        <v>1937</v>
      </c>
      <c r="G20" s="51" t="s">
        <v>1938</v>
      </c>
      <c r="H20" s="51" t="s">
        <v>1939</v>
      </c>
      <c r="I20" s="50" t="s">
        <v>1851</v>
      </c>
      <c r="J20" s="50" t="s">
        <v>1980</v>
      </c>
      <c r="K20" s="50" t="s">
        <v>1941</v>
      </c>
      <c r="L20" s="50" t="s">
        <v>1981</v>
      </c>
      <c r="M20" s="50" t="s">
        <v>1943</v>
      </c>
      <c r="N20" s="50" t="s">
        <v>1944</v>
      </c>
      <c r="O20" s="50" t="s">
        <v>1945</v>
      </c>
    </row>
    <row r="21" spans="1:15" ht="66" customHeight="1" x14ac:dyDescent="0.25">
      <c r="A21" s="49" t="s">
        <v>1982</v>
      </c>
      <c r="B21" s="49" t="s">
        <v>1983</v>
      </c>
      <c r="C21" s="49" t="s">
        <v>1934</v>
      </c>
      <c r="D21" s="49" t="s">
        <v>1935</v>
      </c>
      <c r="E21" s="51" t="s">
        <v>1936</v>
      </c>
      <c r="F21" s="51" t="s">
        <v>1937</v>
      </c>
      <c r="G21" s="51" t="s">
        <v>1938</v>
      </c>
      <c r="H21" s="51" t="s">
        <v>1939</v>
      </c>
      <c r="I21" s="50" t="s">
        <v>1851</v>
      </c>
      <c r="J21" s="50" t="s">
        <v>1984</v>
      </c>
      <c r="K21" s="50" t="s">
        <v>1941</v>
      </c>
      <c r="L21" s="50" t="s">
        <v>1985</v>
      </c>
      <c r="M21" s="50" t="s">
        <v>1943</v>
      </c>
      <c r="N21" s="50" t="s">
        <v>1944</v>
      </c>
      <c r="O21" s="50" t="s">
        <v>1945</v>
      </c>
    </row>
    <row r="22" spans="1:15" ht="66" customHeight="1" x14ac:dyDescent="0.25">
      <c r="A22" s="49" t="s">
        <v>1986</v>
      </c>
      <c r="B22" s="49" t="s">
        <v>1987</v>
      </c>
      <c r="C22" s="49" t="s">
        <v>1934</v>
      </c>
      <c r="D22" s="49" t="s">
        <v>1988</v>
      </c>
      <c r="E22" s="51" t="s">
        <v>1936</v>
      </c>
      <c r="F22" s="51" t="s">
        <v>1937</v>
      </c>
      <c r="G22" s="51" t="s">
        <v>1938</v>
      </c>
      <c r="H22" s="51" t="s">
        <v>1939</v>
      </c>
      <c r="I22" s="50" t="s">
        <v>1851</v>
      </c>
      <c r="J22" s="50" t="s">
        <v>1989</v>
      </c>
      <c r="K22" s="50" t="s">
        <v>1990</v>
      </c>
      <c r="L22" s="50" t="s">
        <v>1991</v>
      </c>
      <c r="M22" s="50" t="s">
        <v>1992</v>
      </c>
      <c r="N22" s="50" t="s">
        <v>1993</v>
      </c>
      <c r="O22" s="50" t="s">
        <v>1945</v>
      </c>
    </row>
    <row r="23" spans="1:15" ht="66" customHeight="1" x14ac:dyDescent="0.25">
      <c r="A23" s="49" t="s">
        <v>1994</v>
      </c>
      <c r="B23" s="49" t="s">
        <v>1995</v>
      </c>
      <c r="C23" s="49" t="s">
        <v>1934</v>
      </c>
      <c r="D23" s="49" t="s">
        <v>1935</v>
      </c>
      <c r="E23" s="51" t="s">
        <v>1936</v>
      </c>
      <c r="F23" s="51" t="s">
        <v>1937</v>
      </c>
      <c r="G23" s="51" t="s">
        <v>1938</v>
      </c>
      <c r="H23" s="51" t="s">
        <v>1939</v>
      </c>
      <c r="I23" s="50" t="s">
        <v>1851</v>
      </c>
      <c r="J23" s="50" t="s">
        <v>1996</v>
      </c>
      <c r="K23" s="50" t="s">
        <v>1941</v>
      </c>
      <c r="L23" s="50" t="s">
        <v>1997</v>
      </c>
      <c r="M23" s="50" t="s">
        <v>1943</v>
      </c>
      <c r="N23" s="50" t="s">
        <v>1944</v>
      </c>
      <c r="O23" s="50" t="s">
        <v>1945</v>
      </c>
    </row>
    <row r="24" spans="1:15" ht="66" customHeight="1" x14ac:dyDescent="0.25">
      <c r="A24" s="49" t="s">
        <v>1998</v>
      </c>
      <c r="B24" s="49" t="s">
        <v>1999</v>
      </c>
      <c r="C24" s="49" t="s">
        <v>1934</v>
      </c>
      <c r="D24" s="49" t="s">
        <v>1935</v>
      </c>
      <c r="E24" s="51" t="s">
        <v>1936</v>
      </c>
      <c r="F24" s="51" t="s">
        <v>1937</v>
      </c>
      <c r="G24" s="51" t="s">
        <v>1938</v>
      </c>
      <c r="H24" s="51" t="s">
        <v>1939</v>
      </c>
      <c r="I24" s="50" t="s">
        <v>1851</v>
      </c>
      <c r="J24" s="50" t="s">
        <v>2000</v>
      </c>
      <c r="K24" s="50" t="s">
        <v>1941</v>
      </c>
      <c r="L24" s="50" t="s">
        <v>2001</v>
      </c>
      <c r="M24" s="50" t="s">
        <v>1943</v>
      </c>
      <c r="N24" s="50" t="s">
        <v>1944</v>
      </c>
      <c r="O24" s="50" t="s">
        <v>1945</v>
      </c>
    </row>
    <row r="25" spans="1:15" ht="66" customHeight="1" x14ac:dyDescent="0.25">
      <c r="A25" s="49" t="s">
        <v>2002</v>
      </c>
      <c r="B25" s="49" t="s">
        <v>2003</v>
      </c>
      <c r="C25" s="49" t="s">
        <v>1934</v>
      </c>
      <c r="D25" s="49" t="s">
        <v>1935</v>
      </c>
      <c r="E25" s="51" t="s">
        <v>1936</v>
      </c>
      <c r="F25" s="51" t="s">
        <v>1937</v>
      </c>
      <c r="G25" s="51" t="s">
        <v>1938</v>
      </c>
      <c r="H25" s="51" t="s">
        <v>1939</v>
      </c>
      <c r="I25" s="50" t="s">
        <v>1851</v>
      </c>
      <c r="J25" s="50" t="s">
        <v>2004</v>
      </c>
      <c r="K25" s="50" t="s">
        <v>1941</v>
      </c>
      <c r="L25" s="50" t="s">
        <v>2005</v>
      </c>
      <c r="M25" s="50" t="s">
        <v>1943</v>
      </c>
      <c r="N25" s="50" t="s">
        <v>1944</v>
      </c>
      <c r="O25" s="50" t="s">
        <v>1945</v>
      </c>
    </row>
  </sheetData>
  <mergeCells count="3">
    <mergeCell ref="A1:O1"/>
    <mergeCell ref="A2:O2"/>
    <mergeCell ref="A9:O9"/>
  </mergeCells>
  <phoneticPr fontId="15"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使用说明</vt:lpstr>
      <vt:lpstr>字段母版</vt:lpstr>
      <vt:lpstr>Risk-Control关系</vt:lpstr>
      <vt:lpstr>V4接口证据</vt:lpstr>
      <vt:lpstr>规则与枚举</vt:lpstr>
      <vt:lpstr>覆盖与质检</vt:lpstr>
      <vt:lpstr>原始字段追溯</vt:lpstr>
      <vt:lpstr>SAP ECC录制证据</vt:lpstr>
      <vt:lpstr>评分项与规则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ccca0841@office365.chiba-u.jp</cp:lastModifiedBy>
  <dcterms:modified xsi:type="dcterms:W3CDTF">2026-08-03T09:14:47Z</dcterms:modified>
</cp:coreProperties>
</file>